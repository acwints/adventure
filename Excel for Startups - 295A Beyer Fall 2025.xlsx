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han\OneDrive\Desktop\Fall 2025 295A\"/>
    </mc:Choice>
  </mc:AlternateContent>
  <xr:revisionPtr revIDLastSave="0" documentId="13_ncr:1_{E95CAC84-BFD7-4710-8D37-A6A771C5BC9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sts" sheetId="1" r:id="rId1"/>
    <sheet name="Revenu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1" l="1"/>
  <c r="G22" i="1"/>
  <c r="H22" i="1"/>
  <c r="I22" i="1"/>
  <c r="J22" i="1"/>
  <c r="J26" i="1" s="1"/>
  <c r="K22" i="1"/>
  <c r="K26" i="1" s="1"/>
  <c r="L22" i="1"/>
  <c r="L26" i="1" s="1"/>
  <c r="N22" i="1"/>
  <c r="N26" i="1" s="1"/>
  <c r="O22" i="1"/>
  <c r="O26" i="1" s="1"/>
  <c r="P22" i="1"/>
  <c r="P26" i="1" s="1"/>
  <c r="Q22" i="1"/>
  <c r="R22" i="1"/>
  <c r="S22" i="1"/>
  <c r="T22" i="1"/>
  <c r="U22" i="1"/>
  <c r="F23" i="1"/>
  <c r="G23" i="1"/>
  <c r="H23" i="1"/>
  <c r="I23" i="1"/>
  <c r="J23" i="1"/>
  <c r="M23" i="1" s="1"/>
  <c r="K23" i="1"/>
  <c r="L23" i="1"/>
  <c r="N23" i="1"/>
  <c r="Q23" i="1" s="1"/>
  <c r="O23" i="1"/>
  <c r="P23" i="1"/>
  <c r="R23" i="1"/>
  <c r="S23" i="1"/>
  <c r="T23" i="1"/>
  <c r="U23" i="1"/>
  <c r="F24" i="1"/>
  <c r="I24" i="1" s="1"/>
  <c r="V24" i="1" s="1"/>
  <c r="G24" i="1"/>
  <c r="H24" i="1"/>
  <c r="J24" i="1"/>
  <c r="K24" i="1"/>
  <c r="L24" i="1"/>
  <c r="M24" i="1"/>
  <c r="N24" i="1"/>
  <c r="O24" i="1"/>
  <c r="P24" i="1"/>
  <c r="Q24" i="1"/>
  <c r="R24" i="1"/>
  <c r="U24" i="1" s="1"/>
  <c r="S24" i="1"/>
  <c r="T24" i="1"/>
  <c r="F25" i="1"/>
  <c r="G25" i="1"/>
  <c r="H25" i="1"/>
  <c r="I25" i="1"/>
  <c r="J25" i="1"/>
  <c r="K25" i="1"/>
  <c r="L25" i="1"/>
  <c r="M25" i="1"/>
  <c r="N25" i="1"/>
  <c r="Q25" i="1" s="1"/>
  <c r="O25" i="1"/>
  <c r="P25" i="1"/>
  <c r="R25" i="1"/>
  <c r="S25" i="1"/>
  <c r="T25" i="1"/>
  <c r="U25" i="1"/>
  <c r="F26" i="1"/>
  <c r="G26" i="1"/>
  <c r="H26" i="1"/>
  <c r="I26" i="1"/>
  <c r="R26" i="1"/>
  <c r="S26" i="1"/>
  <c r="T26" i="1"/>
  <c r="U26" i="1"/>
  <c r="F31" i="1"/>
  <c r="G31" i="1"/>
  <c r="H31" i="1"/>
  <c r="I31" i="1"/>
  <c r="J31" i="1"/>
  <c r="M31" i="1" s="1"/>
  <c r="K31" i="1"/>
  <c r="K35" i="1" s="1"/>
  <c r="L31" i="1"/>
  <c r="N31" i="1"/>
  <c r="O31" i="1"/>
  <c r="P31" i="1"/>
  <c r="P35" i="1" s="1"/>
  <c r="Q31" i="1"/>
  <c r="R31" i="1"/>
  <c r="S31" i="1"/>
  <c r="T31" i="1"/>
  <c r="U31" i="1"/>
  <c r="U35" i="1" s="1"/>
  <c r="F32" i="1"/>
  <c r="I32" i="1" s="1"/>
  <c r="V32" i="1" s="1"/>
  <c r="G32" i="1"/>
  <c r="H32" i="1"/>
  <c r="J32" i="1"/>
  <c r="K32" i="1"/>
  <c r="M32" i="1" s="1"/>
  <c r="L32" i="1"/>
  <c r="L35" i="1" s="1"/>
  <c r="N32" i="1"/>
  <c r="O32" i="1"/>
  <c r="O35" i="1" s="1"/>
  <c r="P32" i="1"/>
  <c r="Q32" i="1"/>
  <c r="Q35" i="1" s="1"/>
  <c r="R32" i="1"/>
  <c r="U32" i="1" s="1"/>
  <c r="S32" i="1"/>
  <c r="T32" i="1"/>
  <c r="F33" i="1"/>
  <c r="I33" i="1" s="1"/>
  <c r="V33" i="1" s="1"/>
  <c r="G33" i="1"/>
  <c r="H33" i="1"/>
  <c r="J33" i="1"/>
  <c r="K33" i="1"/>
  <c r="L33" i="1"/>
  <c r="M33" i="1"/>
  <c r="N33" i="1"/>
  <c r="O33" i="1"/>
  <c r="P33" i="1"/>
  <c r="Q33" i="1"/>
  <c r="R33" i="1"/>
  <c r="U33" i="1" s="1"/>
  <c r="S33" i="1"/>
  <c r="T33" i="1"/>
  <c r="F34" i="1"/>
  <c r="G34" i="1"/>
  <c r="H34" i="1"/>
  <c r="I34" i="1"/>
  <c r="J34" i="1"/>
  <c r="K34" i="1"/>
  <c r="L34" i="1"/>
  <c r="M34" i="1"/>
  <c r="N34" i="1"/>
  <c r="Q34" i="1" s="1"/>
  <c r="O34" i="1"/>
  <c r="P34" i="1"/>
  <c r="R34" i="1"/>
  <c r="S34" i="1"/>
  <c r="T34" i="1"/>
  <c r="U34" i="1"/>
  <c r="G35" i="1"/>
  <c r="H35" i="1"/>
  <c r="N35" i="1"/>
  <c r="S35" i="1"/>
  <c r="T35" i="1"/>
  <c r="B15" i="3"/>
  <c r="D12" i="3"/>
  <c r="E12" i="3" s="1"/>
  <c r="F12" i="3" s="1"/>
  <c r="H12" i="3" s="1"/>
  <c r="I12" i="3" s="1"/>
  <c r="J12" i="3" s="1"/>
  <c r="K12" i="3" s="1"/>
  <c r="L12" i="3" s="1"/>
  <c r="M12" i="3" s="1"/>
  <c r="D11" i="3"/>
  <c r="D15" i="3" s="1"/>
  <c r="C11" i="3"/>
  <c r="C15" i="3" s="1"/>
  <c r="B7" i="3"/>
  <c r="B13" i="3" s="1"/>
  <c r="E6" i="3"/>
  <c r="D6" i="3"/>
  <c r="E5" i="3"/>
  <c r="D5" i="3"/>
  <c r="E4" i="3"/>
  <c r="D4" i="3"/>
  <c r="E3" i="3"/>
  <c r="D3" i="3"/>
  <c r="E2" i="3"/>
  <c r="D2" i="3"/>
  <c r="B8" i="3" s="1"/>
  <c r="B43" i="1"/>
  <c r="T42" i="1"/>
  <c r="S42" i="1"/>
  <c r="R42" i="1"/>
  <c r="P42" i="1"/>
  <c r="O42" i="1"/>
  <c r="N42" i="1"/>
  <c r="L42" i="1"/>
  <c r="K42" i="1"/>
  <c r="J42" i="1"/>
  <c r="H42" i="1"/>
  <c r="G42" i="1"/>
  <c r="F42" i="1"/>
  <c r="T41" i="1"/>
  <c r="T43" i="1" s="1"/>
  <c r="S41" i="1"/>
  <c r="S43" i="1" s="1"/>
  <c r="R41" i="1"/>
  <c r="P41" i="1"/>
  <c r="P43" i="1" s="1"/>
  <c r="O41" i="1"/>
  <c r="O43" i="1" s="1"/>
  <c r="N41" i="1"/>
  <c r="N43" i="1" s="1"/>
  <c r="L41" i="1"/>
  <c r="L43" i="1" s="1"/>
  <c r="K41" i="1"/>
  <c r="J41" i="1"/>
  <c r="H41" i="1"/>
  <c r="H43" i="1" s="1"/>
  <c r="G41" i="1"/>
  <c r="F41" i="1"/>
  <c r="F43" i="1" s="1"/>
  <c r="B35" i="1"/>
  <c r="B26" i="1"/>
  <c r="B16" i="1"/>
  <c r="H15" i="1"/>
  <c r="D15" i="1"/>
  <c r="R15" i="1" s="1"/>
  <c r="D14" i="1"/>
  <c r="T14" i="1" s="1"/>
  <c r="L13" i="1"/>
  <c r="D13" i="1"/>
  <c r="R13" i="1" s="1"/>
  <c r="D12" i="1"/>
  <c r="T12" i="1" s="1"/>
  <c r="H11" i="1"/>
  <c r="D11" i="1"/>
  <c r="R11" i="1" s="1"/>
  <c r="J10" i="1"/>
  <c r="H10" i="1"/>
  <c r="G10" i="1"/>
  <c r="F10" i="1"/>
  <c r="D10" i="1"/>
  <c r="T10" i="1" s="1"/>
  <c r="H9" i="1"/>
  <c r="G9" i="1"/>
  <c r="F9" i="1"/>
  <c r="D9" i="1"/>
  <c r="R9" i="1" s="1"/>
  <c r="H8" i="1"/>
  <c r="G8" i="1"/>
  <c r="F8" i="1"/>
  <c r="D8" i="1"/>
  <c r="T8" i="1" s="1"/>
  <c r="D7" i="1"/>
  <c r="R7" i="1" s="1"/>
  <c r="D6" i="1"/>
  <c r="T6" i="1" s="1"/>
  <c r="G43" i="1" l="1"/>
  <c r="J43" i="1"/>
  <c r="M43" i="1" s="1"/>
  <c r="K43" i="1"/>
  <c r="R43" i="1"/>
  <c r="I35" i="1"/>
  <c r="M35" i="1"/>
  <c r="V31" i="1"/>
  <c r="V35" i="1" s="1"/>
  <c r="F35" i="1"/>
  <c r="R35" i="1"/>
  <c r="J35" i="1"/>
  <c r="V23" i="1"/>
  <c r="Q26" i="1"/>
  <c r="V25" i="1"/>
  <c r="V34" i="1"/>
  <c r="M22" i="1"/>
  <c r="M26" i="1" s="1"/>
  <c r="M42" i="1"/>
  <c r="U42" i="1"/>
  <c r="P11" i="1"/>
  <c r="H13" i="1"/>
  <c r="Q42" i="1"/>
  <c r="G12" i="1"/>
  <c r="P13" i="1"/>
  <c r="P15" i="1"/>
  <c r="I42" i="1"/>
  <c r="V42" i="1" s="1"/>
  <c r="B47" i="1"/>
  <c r="P7" i="1"/>
  <c r="S10" i="1"/>
  <c r="O12" i="1"/>
  <c r="K14" i="1"/>
  <c r="S14" i="1"/>
  <c r="I10" i="1"/>
  <c r="K10" i="1"/>
  <c r="T11" i="1"/>
  <c r="J12" i="1"/>
  <c r="R12" i="1"/>
  <c r="F14" i="1"/>
  <c r="N14" i="1"/>
  <c r="T15" i="1"/>
  <c r="N10" i="1"/>
  <c r="K12" i="1"/>
  <c r="S12" i="1"/>
  <c r="G14" i="1"/>
  <c r="O14" i="1"/>
  <c r="N8" i="1"/>
  <c r="I9" i="1"/>
  <c r="O10" i="1"/>
  <c r="L11" i="1"/>
  <c r="F12" i="1"/>
  <c r="N12" i="1"/>
  <c r="T13" i="1"/>
  <c r="J14" i="1"/>
  <c r="R14" i="1"/>
  <c r="L15" i="1"/>
  <c r="O6" i="1"/>
  <c r="H6" i="1"/>
  <c r="G6" i="1"/>
  <c r="N6" i="1"/>
  <c r="R10" i="1"/>
  <c r="L9" i="1"/>
  <c r="P9" i="1"/>
  <c r="T9" i="1"/>
  <c r="O8" i="1"/>
  <c r="J8" i="1"/>
  <c r="R8" i="1"/>
  <c r="I8" i="1"/>
  <c r="K8" i="1"/>
  <c r="S8" i="1"/>
  <c r="T7" i="1"/>
  <c r="H7" i="1"/>
  <c r="L7" i="1"/>
  <c r="F6" i="1"/>
  <c r="K6" i="1"/>
  <c r="S6" i="1"/>
  <c r="J6" i="1"/>
  <c r="R6" i="1"/>
  <c r="G7" i="1"/>
  <c r="K7" i="1"/>
  <c r="O7" i="1"/>
  <c r="S7" i="1"/>
  <c r="K9" i="1"/>
  <c r="O9" i="1"/>
  <c r="S9" i="1"/>
  <c r="G11" i="1"/>
  <c r="K11" i="1"/>
  <c r="O11" i="1"/>
  <c r="S11" i="1"/>
  <c r="G13" i="1"/>
  <c r="K13" i="1"/>
  <c r="O13" i="1"/>
  <c r="S13" i="1"/>
  <c r="G15" i="1"/>
  <c r="K15" i="1"/>
  <c r="O15" i="1"/>
  <c r="S15" i="1"/>
  <c r="I43" i="1"/>
  <c r="U43" i="1"/>
  <c r="L6" i="1"/>
  <c r="P6" i="1"/>
  <c r="F7" i="1"/>
  <c r="J7" i="1"/>
  <c r="N7" i="1"/>
  <c r="L8" i="1"/>
  <c r="P8" i="1"/>
  <c r="J9" i="1"/>
  <c r="N9" i="1"/>
  <c r="L10" i="1"/>
  <c r="P10" i="1"/>
  <c r="F11" i="1"/>
  <c r="J11" i="1"/>
  <c r="N11" i="1"/>
  <c r="H12" i="1"/>
  <c r="L12" i="1"/>
  <c r="P12" i="1"/>
  <c r="F13" i="1"/>
  <c r="J13" i="1"/>
  <c r="N13" i="1"/>
  <c r="H14" i="1"/>
  <c r="L14" i="1"/>
  <c r="P14" i="1"/>
  <c r="F15" i="1"/>
  <c r="J15" i="1"/>
  <c r="N15" i="1"/>
  <c r="Q43" i="1"/>
  <c r="B14" i="3"/>
  <c r="B16" i="3"/>
  <c r="B23" i="3"/>
  <c r="E11" i="3"/>
  <c r="C13" i="3"/>
  <c r="I41" i="1"/>
  <c r="M41" i="1"/>
  <c r="Q41" i="1"/>
  <c r="U41" i="1"/>
  <c r="D13" i="3"/>
  <c r="V22" i="1" l="1"/>
  <c r="V26" i="1" s="1"/>
  <c r="I6" i="1"/>
  <c r="U8" i="1"/>
  <c r="U12" i="1"/>
  <c r="Q11" i="1"/>
  <c r="I11" i="1"/>
  <c r="Q15" i="1"/>
  <c r="Q14" i="1"/>
  <c r="U11" i="1"/>
  <c r="M14" i="1"/>
  <c r="M10" i="1"/>
  <c r="R16" i="1"/>
  <c r="R47" i="1" s="1"/>
  <c r="T16" i="1"/>
  <c r="T47" i="1" s="1"/>
  <c r="U14" i="1"/>
  <c r="B17" i="3"/>
  <c r="B21" i="3" s="1"/>
  <c r="Q12" i="1"/>
  <c r="U6" i="1"/>
  <c r="U13" i="1"/>
  <c r="U15" i="1"/>
  <c r="U10" i="1"/>
  <c r="Q13" i="1"/>
  <c r="Q10" i="1"/>
  <c r="Q8" i="1"/>
  <c r="M12" i="1"/>
  <c r="I15" i="1"/>
  <c r="I13" i="1"/>
  <c r="I14" i="1"/>
  <c r="U9" i="1"/>
  <c r="T17" i="1"/>
  <c r="M8" i="1"/>
  <c r="M7" i="1"/>
  <c r="H17" i="1"/>
  <c r="M15" i="1"/>
  <c r="M11" i="1"/>
  <c r="Q9" i="1"/>
  <c r="M9" i="1"/>
  <c r="O17" i="1"/>
  <c r="H16" i="1"/>
  <c r="H47" i="1" s="1"/>
  <c r="K16" i="1"/>
  <c r="K47" i="1" s="1"/>
  <c r="M13" i="1"/>
  <c r="I7" i="1"/>
  <c r="I12" i="1"/>
  <c r="R17" i="1"/>
  <c r="M6" i="1"/>
  <c r="Q6" i="1"/>
  <c r="G17" i="1"/>
  <c r="K17" i="1"/>
  <c r="N17" i="1"/>
  <c r="S16" i="1"/>
  <c r="S47" i="1" s="1"/>
  <c r="G16" i="1"/>
  <c r="G47" i="1" s="1"/>
  <c r="E15" i="3"/>
  <c r="E13" i="3"/>
  <c r="F11" i="3"/>
  <c r="V43" i="1"/>
  <c r="F16" i="1"/>
  <c r="J17" i="1"/>
  <c r="J16" i="1"/>
  <c r="J47" i="1" s="1"/>
  <c r="U7" i="1"/>
  <c r="S17" i="1"/>
  <c r="D23" i="3"/>
  <c r="C23" i="3"/>
  <c r="P16" i="1"/>
  <c r="P47" i="1" s="1"/>
  <c r="P17" i="1"/>
  <c r="N16" i="1"/>
  <c r="N47" i="1" s="1"/>
  <c r="F17" i="1"/>
  <c r="B24" i="3"/>
  <c r="B20" i="3"/>
  <c r="D16" i="3"/>
  <c r="D14" i="3"/>
  <c r="V41" i="1"/>
  <c r="C16" i="3"/>
  <c r="C14" i="3"/>
  <c r="Q7" i="1"/>
  <c r="L16" i="1"/>
  <c r="L47" i="1" s="1"/>
  <c r="L17" i="1"/>
  <c r="O16" i="1"/>
  <c r="O47" i="1" s="1"/>
  <c r="V11" i="1" l="1"/>
  <c r="V8" i="1"/>
  <c r="V15" i="1"/>
  <c r="V9" i="1"/>
  <c r="V14" i="1"/>
  <c r="V13" i="1"/>
  <c r="V10" i="1"/>
  <c r="V12" i="1"/>
  <c r="U17" i="1"/>
  <c r="U16" i="1"/>
  <c r="C17" i="3"/>
  <c r="C21" i="3" s="1"/>
  <c r="C20" i="3" s="1"/>
  <c r="D17" i="3"/>
  <c r="D21" i="3" s="1"/>
  <c r="D20" i="3" s="1"/>
  <c r="I17" i="1"/>
  <c r="V6" i="1"/>
  <c r="I16" i="1"/>
  <c r="Q16" i="1"/>
  <c r="M16" i="1"/>
  <c r="M17" i="1"/>
  <c r="U47" i="1"/>
  <c r="I47" i="1"/>
  <c r="Q17" i="1"/>
  <c r="V7" i="1"/>
  <c r="D24" i="3"/>
  <c r="C24" i="3"/>
  <c r="M47" i="1"/>
  <c r="G11" i="3"/>
  <c r="F15" i="3"/>
  <c r="F13" i="3"/>
  <c r="Q47" i="1"/>
  <c r="E16" i="3"/>
  <c r="E14" i="3"/>
  <c r="E23" i="3"/>
  <c r="F23" i="3"/>
  <c r="V16" i="1" l="1"/>
  <c r="V17" i="1"/>
  <c r="V47" i="1"/>
  <c r="B63" i="1" s="1"/>
  <c r="E17" i="3"/>
  <c r="E21" i="3" s="1"/>
  <c r="F16" i="3"/>
  <c r="F14" i="3"/>
  <c r="G15" i="3"/>
  <c r="G13" i="3"/>
  <c r="G23" i="3" s="1"/>
  <c r="H11" i="3"/>
  <c r="B51" i="1" l="1"/>
  <c r="B53" i="1" s="1"/>
  <c r="B56" i="1"/>
  <c r="H15" i="3"/>
  <c r="H13" i="3"/>
  <c r="I11" i="3"/>
  <c r="E20" i="3"/>
  <c r="E24" i="3"/>
  <c r="F24" i="3"/>
  <c r="G16" i="3"/>
  <c r="G14" i="3"/>
  <c r="F17" i="3"/>
  <c r="F21" i="3" s="1"/>
  <c r="F20" i="3" s="1"/>
  <c r="H16" i="3" l="1"/>
  <c r="H14" i="3"/>
  <c r="G17" i="3"/>
  <c r="G21" i="3" s="1"/>
  <c r="I15" i="3"/>
  <c r="I13" i="3"/>
  <c r="J11" i="3"/>
  <c r="H23" i="3"/>
  <c r="H17" i="3" l="1"/>
  <c r="H21" i="3" s="1"/>
  <c r="H20" i="3" s="1"/>
  <c r="G20" i="3"/>
  <c r="I16" i="3"/>
  <c r="I14" i="3"/>
  <c r="K11" i="3"/>
  <c r="J15" i="3"/>
  <c r="J13" i="3"/>
  <c r="G24" i="3"/>
  <c r="I23" i="3"/>
  <c r="H24" i="3" l="1"/>
  <c r="I17" i="3"/>
  <c r="I21" i="3" s="1"/>
  <c r="J16" i="3"/>
  <c r="J14" i="3"/>
  <c r="J17" i="3" s="1"/>
  <c r="J21" i="3" s="1"/>
  <c r="J23" i="3"/>
  <c r="K15" i="3"/>
  <c r="K13" i="3"/>
  <c r="L11" i="3"/>
  <c r="I20" i="3" l="1"/>
  <c r="I24" i="3"/>
  <c r="J20" i="3"/>
  <c r="J24" i="3"/>
  <c r="L15" i="3"/>
  <c r="L13" i="3"/>
  <c r="M11" i="3"/>
  <c r="K16" i="3"/>
  <c r="K14" i="3"/>
  <c r="K23" i="3"/>
  <c r="K17" i="3" l="1"/>
  <c r="K21" i="3" s="1"/>
  <c r="K20" i="3"/>
  <c r="K24" i="3"/>
  <c r="L16" i="3"/>
  <c r="L14" i="3"/>
  <c r="L23" i="3"/>
  <c r="M15" i="3"/>
  <c r="M13" i="3"/>
  <c r="M16" i="3" l="1"/>
  <c r="M14" i="3"/>
  <c r="M23" i="3"/>
  <c r="L17" i="3"/>
  <c r="L21" i="3" s="1"/>
  <c r="L20" i="3" l="1"/>
  <c r="L24" i="3"/>
  <c r="M17" i="3"/>
  <c r="M21" i="3" s="1"/>
  <c r="M20" i="3" l="1"/>
  <c r="M24" i="3"/>
  <c r="B65" i="1" s="1"/>
  <c r="B66" i="1" s="1"/>
  <c r="B67" i="1" s="1"/>
  <c r="B58" i="1" l="1"/>
  <c r="B59" i="1" s="1"/>
  <c r="B60" i="1" s="1"/>
</calcChain>
</file>

<file path=xl/sharedStrings.xml><?xml version="1.0" encoding="utf-8"?>
<sst xmlns="http://schemas.openxmlformats.org/spreadsheetml/2006/main" count="115" uniqueCount="64">
  <si>
    <t>Your Startup</t>
  </si>
  <si>
    <t xml:space="preserve">Salaries: </t>
  </si>
  <si>
    <t>Title</t>
  </si>
  <si>
    <t>Annual Salary</t>
  </si>
  <si>
    <t>Salary + Fringe</t>
  </si>
  <si>
    <t xml:space="preserve">Date Hired </t>
  </si>
  <si>
    <t>CEO</t>
  </si>
  <si>
    <t xml:space="preserve">CTO </t>
  </si>
  <si>
    <t xml:space="preserve">Engineer 1 </t>
  </si>
  <si>
    <t>Metric</t>
  </si>
  <si>
    <t>Engineer 2</t>
  </si>
  <si>
    <t>Designer</t>
  </si>
  <si>
    <t>Add more</t>
  </si>
  <si>
    <t>Total:</t>
  </si>
  <si>
    <t>Number of people in team</t>
  </si>
  <si>
    <t xml:space="preserve">Office: </t>
  </si>
  <si>
    <t>Annual</t>
  </si>
  <si>
    <t>Start Date</t>
  </si>
  <si>
    <t>Rent</t>
  </si>
  <si>
    <t xml:space="preserve">AWS and other services: </t>
  </si>
  <si>
    <t>Marketing:</t>
  </si>
  <si>
    <t>Total costs:</t>
  </si>
  <si>
    <t xml:space="preserve">Total costs </t>
  </si>
  <si>
    <t>No monetization</t>
  </si>
  <si>
    <t>Average Monthly Burn</t>
  </si>
  <si>
    <t>Cash Available (Capital)</t>
  </si>
  <si>
    <t>How many months you have until cash will be burned totally</t>
  </si>
  <si>
    <t>SaaS</t>
  </si>
  <si>
    <t>Total Revenue from SaaS model</t>
  </si>
  <si>
    <t>Capital + Revenue</t>
  </si>
  <si>
    <t>How many months you have until cash will be burned totally in Saas Model</t>
  </si>
  <si>
    <t>E-commerce</t>
  </si>
  <si>
    <t>Total Revenue from E-commerce model</t>
  </si>
  <si>
    <t>Price</t>
  </si>
  <si>
    <t>% out of total orders</t>
  </si>
  <si>
    <t>Cost to produce, 60%</t>
  </si>
  <si>
    <t>Margin, 40%</t>
  </si>
  <si>
    <t>Revenue per sale, avg</t>
  </si>
  <si>
    <t>Cost to produce, avg</t>
  </si>
  <si>
    <t xml:space="preserve">Number of Sales </t>
  </si>
  <si>
    <t>Sales growth MoM, %</t>
  </si>
  <si>
    <t>Revenue</t>
  </si>
  <si>
    <t>Total Cost to produce</t>
  </si>
  <si>
    <t xml:space="preserve">Shipping costs </t>
  </si>
  <si>
    <t>Transaction fee, 3%</t>
  </si>
  <si>
    <t>Total costs</t>
  </si>
  <si>
    <t xml:space="preserve">Add more </t>
  </si>
  <si>
    <t>Net Margin</t>
  </si>
  <si>
    <t>Net Income</t>
  </si>
  <si>
    <t>Total revenue cumulative</t>
  </si>
  <si>
    <t>Total Net income cumulative</t>
  </si>
  <si>
    <t>Benefits</t>
  </si>
  <si>
    <t>Legal Services</t>
  </si>
  <si>
    <t>Campaign 1</t>
  </si>
  <si>
    <t>Your business revenue</t>
  </si>
  <si>
    <t>Revenue Stream 1</t>
  </si>
  <si>
    <t>Revenue Stream 2</t>
  </si>
  <si>
    <t>Revenue Stream 3</t>
  </si>
  <si>
    <t>Q1 2025</t>
  </si>
  <si>
    <t>Q2 2025</t>
  </si>
  <si>
    <t>Q3 2025</t>
  </si>
  <si>
    <t>Q4 2025</t>
  </si>
  <si>
    <t>FY 2025</t>
  </si>
  <si>
    <t>Apil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</si>
</sst>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[$-409]mmmm\ d\,\ yyyy"/>
  </numFmts>
  <fonts count="7" x14ac:knownFonts="1">
    <font>
      <sz val="12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0"/>
      <color rgb="FF000000"/>
      <name val="Arial"/>
    </font>
    <font>
      <b/>
      <sz val="10"/>
      <color rgb="FFFFFFFF"/>
      <name val="Arial"/>
    </font>
    <font>
      <b/>
      <sz val="12"/>
      <color rgb="FF000000"/>
      <name val="Calibri"/>
    </font>
    <font>
      <b/>
      <sz val="16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2F5496"/>
        <bgColor rgb="FF2F5496"/>
      </patternFill>
    </fill>
    <fill>
      <patternFill patternType="solid">
        <fgColor rgb="FF548135"/>
        <bgColor rgb="FF548135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" fontId="3" fillId="0" borderId="4" xfId="0" applyNumberFormat="1" applyFont="1" applyBorder="1" applyAlignment="1">
      <alignment horizontal="center"/>
    </xf>
    <xf numFmtId="17" fontId="4" fillId="3" borderId="2" xfId="0" applyNumberFormat="1" applyFont="1" applyFill="1" applyBorder="1" applyAlignment="1">
      <alignment horizontal="center"/>
    </xf>
    <xf numFmtId="17" fontId="4" fillId="4" borderId="3" xfId="0" applyNumberFormat="1" applyFont="1" applyFill="1" applyBorder="1" applyAlignment="1">
      <alignment horizontal="center"/>
    </xf>
    <xf numFmtId="0" fontId="0" fillId="0" borderId="5" xfId="0" applyBorder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4" fontId="0" fillId="2" borderId="6" xfId="0" applyNumberFormat="1" applyFill="1" applyBorder="1"/>
    <xf numFmtId="164" fontId="0" fillId="0" borderId="7" xfId="0" applyNumberFormat="1" applyBorder="1"/>
    <xf numFmtId="0" fontId="0" fillId="2" borderId="9" xfId="0" applyFill="1" applyBorder="1"/>
    <xf numFmtId="10" fontId="0" fillId="2" borderId="10" xfId="0" applyNumberFormat="1" applyFill="1" applyBorder="1"/>
    <xf numFmtId="0" fontId="0" fillId="2" borderId="11" xfId="0" applyFill="1" applyBorder="1"/>
    <xf numFmtId="164" fontId="0" fillId="2" borderId="12" xfId="0" applyNumberFormat="1" applyFill="1" applyBorder="1"/>
    <xf numFmtId="0" fontId="5" fillId="2" borderId="1" xfId="0" applyFont="1" applyFill="1" applyBorder="1"/>
    <xf numFmtId="17" fontId="3" fillId="2" borderId="1" xfId="0" applyNumberFormat="1" applyFont="1" applyFill="1" applyBorder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164" fontId="0" fillId="2" borderId="10" xfId="0" applyNumberFormat="1" applyFill="1" applyBorder="1"/>
    <xf numFmtId="164" fontId="0" fillId="2" borderId="13" xfId="0" applyNumberFormat="1" applyFill="1" applyBorder="1"/>
    <xf numFmtId="0" fontId="5" fillId="0" borderId="14" xfId="0" applyFont="1" applyBorder="1"/>
    <xf numFmtId="164" fontId="0" fillId="0" borderId="4" xfId="0" applyNumberFormat="1" applyBorder="1"/>
    <xf numFmtId="0" fontId="0" fillId="0" borderId="4" xfId="0" applyBorder="1"/>
    <xf numFmtId="164" fontId="0" fillId="2" borderId="2" xfId="0" applyNumberFormat="1" applyFill="1" applyBorder="1"/>
    <xf numFmtId="164" fontId="0" fillId="0" borderId="15" xfId="0" applyNumberFormat="1" applyBorder="1"/>
    <xf numFmtId="0" fontId="5" fillId="0" borderId="16" xfId="0" applyFont="1" applyBorder="1"/>
    <xf numFmtId="0" fontId="0" fillId="0" borderId="17" xfId="0" applyBorder="1"/>
    <xf numFmtId="0" fontId="0" fillId="0" borderId="18" xfId="0" applyBorder="1"/>
    <xf numFmtId="0" fontId="0" fillId="2" borderId="2" xfId="0" applyFill="1" applyBorder="1"/>
    <xf numFmtId="0" fontId="5" fillId="0" borderId="5" xfId="0" applyFont="1" applyBorder="1"/>
    <xf numFmtId="0" fontId="6" fillId="2" borderId="19" xfId="0" applyFont="1" applyFill="1" applyBorder="1"/>
    <xf numFmtId="0" fontId="0" fillId="2" borderId="20" xfId="0" applyFill="1" applyBorder="1"/>
    <xf numFmtId="0" fontId="1" fillId="2" borderId="9" xfId="0" applyFont="1" applyFill="1" applyBorder="1"/>
    <xf numFmtId="49" fontId="1" fillId="2" borderId="11" xfId="0" applyNumberFormat="1" applyFont="1" applyFill="1" applyBorder="1" applyAlignment="1">
      <alignment wrapText="1"/>
    </xf>
    <xf numFmtId="1" fontId="0" fillId="2" borderId="12" xfId="0" applyNumberFormat="1" applyFill="1" applyBorder="1"/>
    <xf numFmtId="0" fontId="1" fillId="2" borderId="9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2" borderId="19" xfId="0" applyFill="1" applyBorder="1"/>
    <xf numFmtId="1" fontId="0" fillId="2" borderId="21" xfId="0" applyNumberFormat="1" applyFill="1" applyBorder="1"/>
    <xf numFmtId="1" fontId="0" fillId="2" borderId="20" xfId="0" applyNumberFormat="1" applyFill="1" applyBorder="1"/>
    <xf numFmtId="9" fontId="0" fillId="2" borderId="6" xfId="0" applyNumberFormat="1" applyFill="1" applyBorder="1"/>
    <xf numFmtId="10" fontId="0" fillId="2" borderId="6" xfId="0" applyNumberFormat="1" applyFill="1" applyBorder="1"/>
    <xf numFmtId="9" fontId="0" fillId="0" borderId="7" xfId="0" applyNumberForma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Revenue!$A$13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mpd="sng">
              <a:solidFill>
                <a:srgbClr val="A5A5A5"/>
              </a:solidFill>
            </a:ln>
          </c:spPr>
          <c:marker>
            <c:symbol val="circle"/>
            <c:size val="5"/>
            <c:spPr>
              <a:solidFill>
                <a:srgbClr val="A5A5A5"/>
              </a:solidFill>
              <a:ln cmpd="sng">
                <a:solidFill>
                  <a:srgbClr val="A5A5A5"/>
                </a:solidFill>
              </a:ln>
            </c:spPr>
          </c:marker>
          <c:cat>
            <c:strRef>
              <c:f>Revenue!$B$10:$M$10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Apil 2026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Revenue!$B$13:$M$13</c:f>
              <c:numCache>
                <c:formatCode>_-"$"* #,##0.00_-;\-"$"* #,##0.00_-;_-"$"* "-"??_-;_-@</c:formatCode>
                <c:ptCount val="12"/>
                <c:pt idx="0">
                  <c:v>3150</c:v>
                </c:pt>
                <c:pt idx="1">
                  <c:v>3780</c:v>
                </c:pt>
                <c:pt idx="2">
                  <c:v>4725</c:v>
                </c:pt>
                <c:pt idx="3">
                  <c:v>6142.5</c:v>
                </c:pt>
                <c:pt idx="4">
                  <c:v>8292.375</c:v>
                </c:pt>
                <c:pt idx="5">
                  <c:v>8706.9937499999996</c:v>
                </c:pt>
                <c:pt idx="6">
                  <c:v>9577.6931249999998</c:v>
                </c:pt>
                <c:pt idx="7">
                  <c:v>11014.347093750002</c:v>
                </c:pt>
                <c:pt idx="8">
                  <c:v>13217.216512500001</c:v>
                </c:pt>
                <c:pt idx="9">
                  <c:v>16521.520640625</c:v>
                </c:pt>
                <c:pt idx="10">
                  <c:v>21477.976832812499</c:v>
                </c:pt>
                <c:pt idx="11">
                  <c:v>28995.268724296875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0-44C8-B29F-1DE0C5C2EB0A}"/>
            </c:ext>
          </c:extLst>
        </c:ser>
        <c:ser>
          <c:idx val="1"/>
          <c:order val="1"/>
          <c:tx>
            <c:strRef>
              <c:f>Revenue!$A$21</c:f>
              <c:strCache>
                <c:ptCount val="1"/>
                <c:pt idx="0">
                  <c:v>Net Income</c:v>
                </c:pt>
              </c:strCache>
            </c:strRef>
          </c:tx>
          <c:spPr>
            <a:ln w="19050" cmpd="sng">
              <a:solidFill>
                <a:srgbClr val="1B2E4E"/>
              </a:solidFill>
            </a:ln>
          </c:spPr>
          <c:marker>
            <c:symbol val="circle"/>
            <c:size val="5"/>
            <c:spPr>
              <a:solidFill>
                <a:srgbClr val="1B2E4E"/>
              </a:solidFill>
              <a:ln cmpd="sng">
                <a:solidFill>
                  <a:srgbClr val="1B2E4E"/>
                </a:solidFill>
              </a:ln>
            </c:spPr>
          </c:marker>
          <c:cat>
            <c:strRef>
              <c:f>Revenue!$B$10:$M$10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Apil 2026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Revenue!$B$21:$M$21</c:f>
              <c:numCache>
                <c:formatCode>_-"$"* #,##0.00_-;\-"$"* #,##0.00_-;_-"$"* "-"??_-;_-@</c:formatCode>
                <c:ptCount val="12"/>
                <c:pt idx="0">
                  <c:v>865.5</c:v>
                </c:pt>
                <c:pt idx="1">
                  <c:v>1038.5999999999999</c:v>
                </c:pt>
                <c:pt idx="2">
                  <c:v>1298.25</c:v>
                </c:pt>
                <c:pt idx="3">
                  <c:v>1687.7250000000004</c:v>
                </c:pt>
                <c:pt idx="4">
                  <c:v>2278.42875</c:v>
                </c:pt>
                <c:pt idx="5">
                  <c:v>2392.3501874999993</c:v>
                </c:pt>
                <c:pt idx="6">
                  <c:v>2631.5852062499998</c:v>
                </c:pt>
                <c:pt idx="7">
                  <c:v>3026.3229871875001</c:v>
                </c:pt>
                <c:pt idx="8">
                  <c:v>3631.5875846250001</c:v>
                </c:pt>
                <c:pt idx="9">
                  <c:v>4539.4844807812478</c:v>
                </c:pt>
                <c:pt idx="10">
                  <c:v>5901.3298250156258</c:v>
                </c:pt>
                <c:pt idx="11">
                  <c:v>7966.7952637710914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0-44C8-B29F-1DE0C5C2E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54280"/>
        <c:axId val="308157024"/>
      </c:lineChart>
      <c:catAx>
        <c:axId val="30815428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08157024"/>
        <c:crosses val="autoZero"/>
        <c:auto val="1"/>
        <c:lblAlgn val="ctr"/>
        <c:lblOffset val="100"/>
        <c:noMultiLvlLbl val="1"/>
      </c:catAx>
      <c:valAx>
        <c:axId val="308157024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_-&quot;$&quot;* #,##0.00_-;\-&quot;$&quot;* #,##0.00_-;_-&quot;$&quot;* &quot;-&quot;??_-;_-@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3081542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Revenue!$A$23</c:f>
              <c:strCache>
                <c:ptCount val="1"/>
                <c:pt idx="0">
                  <c:v>Total revenue cumulative</c:v>
                </c:pt>
              </c:strCache>
            </c:strRef>
          </c:tx>
          <c:spPr>
            <a:solidFill>
              <a:srgbClr val="5B9BD5">
                <a:alpha val="80000"/>
              </a:srgbClr>
            </a:solidFill>
            <a:ln w="19050" cmpd="sng">
              <a:solidFill>
                <a:srgbClr val="5B9BD5"/>
              </a:solidFill>
            </a:ln>
          </c:spPr>
          <c:cat>
            <c:strRef>
              <c:f>Revenue!$B$10:$M$10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Apil 2026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Revenue!$B$23:$M$23</c:f>
              <c:numCache>
                <c:formatCode>_-"$"* #,##0.00_-;\-"$"* #,##0.00_-;_-"$"* "-"??_-;_-@</c:formatCode>
                <c:ptCount val="12"/>
                <c:pt idx="0">
                  <c:v>3150</c:v>
                </c:pt>
                <c:pt idx="1">
                  <c:v>6930</c:v>
                </c:pt>
                <c:pt idx="2">
                  <c:v>11655</c:v>
                </c:pt>
                <c:pt idx="3">
                  <c:v>17797.5</c:v>
                </c:pt>
                <c:pt idx="4">
                  <c:v>26089.875</c:v>
                </c:pt>
                <c:pt idx="5">
                  <c:v>34796.868750000001</c:v>
                </c:pt>
                <c:pt idx="6">
                  <c:v>44374.561874999999</c:v>
                </c:pt>
                <c:pt idx="7">
                  <c:v>55388.908968750002</c:v>
                </c:pt>
                <c:pt idx="8">
                  <c:v>68606.125481249997</c:v>
                </c:pt>
                <c:pt idx="9">
                  <c:v>85127.646121875005</c:v>
                </c:pt>
                <c:pt idx="10">
                  <c:v>106605.62295468751</c:v>
                </c:pt>
                <c:pt idx="11">
                  <c:v>135600.89167898439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6-4DE0-98F8-6828CB7C8B1F}"/>
            </c:ext>
          </c:extLst>
        </c:ser>
        <c:ser>
          <c:idx val="1"/>
          <c:order val="1"/>
          <c:tx>
            <c:strRef>
              <c:f>Revenue!$A$24</c:f>
              <c:strCache>
                <c:ptCount val="1"/>
                <c:pt idx="0">
                  <c:v>Total Net income cumulative</c:v>
                </c:pt>
              </c:strCache>
            </c:strRef>
          </c:tx>
          <c:spPr>
            <a:solidFill>
              <a:srgbClr val="ED7D31">
                <a:alpha val="80000"/>
              </a:srgbClr>
            </a:solidFill>
            <a:ln w="19050" cmpd="sng">
              <a:solidFill>
                <a:srgbClr val="ED7D31"/>
              </a:solidFill>
            </a:ln>
          </c:spPr>
          <c:cat>
            <c:strRef>
              <c:f>Revenue!$B$10:$M$10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Apil 2026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Revenue!$B$24:$M$24</c:f>
              <c:numCache>
                <c:formatCode>_-"$"* #,##0.00_-;\-"$"* #,##0.00_-;_-"$"* "-"??_-;_-@</c:formatCode>
                <c:ptCount val="12"/>
                <c:pt idx="0">
                  <c:v>865.5</c:v>
                </c:pt>
                <c:pt idx="1">
                  <c:v>1904.1</c:v>
                </c:pt>
                <c:pt idx="2">
                  <c:v>3202.35</c:v>
                </c:pt>
                <c:pt idx="3">
                  <c:v>4890.0750000000007</c:v>
                </c:pt>
                <c:pt idx="4">
                  <c:v>7168.5037500000008</c:v>
                </c:pt>
                <c:pt idx="5">
                  <c:v>9560.8539375</c:v>
                </c:pt>
                <c:pt idx="6">
                  <c:v>12192.43914375</c:v>
                </c:pt>
                <c:pt idx="7">
                  <c:v>15218.762130937499</c:v>
                </c:pt>
                <c:pt idx="8">
                  <c:v>18850.349715562501</c:v>
                </c:pt>
                <c:pt idx="9">
                  <c:v>23389.834196343749</c:v>
                </c:pt>
                <c:pt idx="10">
                  <c:v>29291.164021359375</c:v>
                </c:pt>
                <c:pt idx="11">
                  <c:v>37257.959285130462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6-4DE0-98F8-6828CB7C8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158592"/>
        <c:axId val="308155848"/>
      </c:areaChart>
      <c:catAx>
        <c:axId val="30815859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08155848"/>
        <c:crosses val="autoZero"/>
        <c:auto val="1"/>
        <c:lblAlgn val="ctr"/>
        <c:lblOffset val="100"/>
        <c:noMultiLvlLbl val="1"/>
      </c:catAx>
      <c:valAx>
        <c:axId val="308155848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_-&quot;$&quot;* #,##0.00_-;\-&quot;$&quot;* #,##0.00_-;_-&quot;$&quot;* &quot;-&quot;??_-;_-@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</a:defRPr>
            </a:pPr>
            <a:endParaRPr lang="en-US"/>
          </a:p>
        </c:txPr>
        <c:crossAx val="308158592"/>
        <c:crosses val="autoZero"/>
        <c:crossBetween val="midCat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85725</xdr:colOff>
      <xdr:row>51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847725</xdr:colOff>
      <xdr:row>25</xdr:row>
      <xdr:rowOff>0</xdr:rowOff>
    </xdr:from>
    <xdr:to>
      <xdr:col>17</xdr:col>
      <xdr:colOff>800100</xdr:colOff>
      <xdr:row>50</xdr:row>
      <xdr:rowOff>152400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E53" sqref="E53"/>
    </sheetView>
  </sheetViews>
  <sheetFormatPr defaultColWidth="11.19921875" defaultRowHeight="15" customHeight="1" x14ac:dyDescent="0.3"/>
  <cols>
    <col min="1" max="1" width="32.09765625" customWidth="1"/>
    <col min="2" max="2" width="24.296875" customWidth="1"/>
    <col min="3" max="3" width="18.59765625" customWidth="1"/>
    <col min="4" max="4" width="19.69921875" customWidth="1"/>
    <col min="5" max="5" width="13.69921875" customWidth="1"/>
    <col min="6" max="12" width="11.296875" customWidth="1"/>
    <col min="13" max="13" width="12.59765625" customWidth="1"/>
    <col min="14" max="16" width="11.296875" customWidth="1"/>
    <col min="17" max="17" width="13" customWidth="1"/>
    <col min="18" max="20" width="11.296875" customWidth="1"/>
    <col min="21" max="21" width="12.59765625" customWidth="1"/>
    <col min="22" max="22" width="12.296875" customWidth="1"/>
    <col min="23" max="26" width="10.59765625" customWidth="1"/>
  </cols>
  <sheetData>
    <row r="1" spans="1:22" ht="18.75" customHeight="1" x14ac:dyDescent="0.35">
      <c r="A1" s="1" t="s">
        <v>0</v>
      </c>
    </row>
    <row r="2" spans="1:22" ht="18.75" customHeight="1" x14ac:dyDescent="0.35">
      <c r="A2" s="2"/>
    </row>
    <row r="3" spans="1:22" ht="15.75" customHeight="1" x14ac:dyDescent="0.3"/>
    <row r="4" spans="1:22" ht="18.75" customHeight="1" x14ac:dyDescent="0.35">
      <c r="A4" s="1" t="s">
        <v>1</v>
      </c>
    </row>
    <row r="5" spans="1:22" ht="15.75" customHeight="1" x14ac:dyDescent="0.3">
      <c r="A5" s="3" t="s">
        <v>2</v>
      </c>
      <c r="B5" s="4" t="s">
        <v>3</v>
      </c>
      <c r="C5" s="4" t="s">
        <v>51</v>
      </c>
      <c r="D5" s="4" t="s">
        <v>4</v>
      </c>
      <c r="E5" s="5" t="s">
        <v>5</v>
      </c>
      <c r="F5" s="6">
        <v>45658</v>
      </c>
      <c r="G5" s="6">
        <v>45689</v>
      </c>
      <c r="H5" s="6">
        <v>45717</v>
      </c>
      <c r="I5" s="7" t="s">
        <v>58</v>
      </c>
      <c r="J5" s="6">
        <v>45748</v>
      </c>
      <c r="K5" s="6">
        <v>45778</v>
      </c>
      <c r="L5" s="6">
        <v>45809</v>
      </c>
      <c r="M5" s="7" t="s">
        <v>59</v>
      </c>
      <c r="N5" s="6">
        <v>45839</v>
      </c>
      <c r="O5" s="6">
        <v>45870</v>
      </c>
      <c r="P5" s="6">
        <v>45901</v>
      </c>
      <c r="Q5" s="7" t="s">
        <v>60</v>
      </c>
      <c r="R5" s="6">
        <v>45931</v>
      </c>
      <c r="S5" s="6">
        <v>45962</v>
      </c>
      <c r="T5" s="6">
        <v>45992</v>
      </c>
      <c r="U5" s="7" t="s">
        <v>61</v>
      </c>
      <c r="V5" s="8" t="s">
        <v>62</v>
      </c>
    </row>
    <row r="6" spans="1:22" ht="15.75" customHeight="1" x14ac:dyDescent="0.3">
      <c r="A6" s="9" t="s">
        <v>6</v>
      </c>
      <c r="B6" s="10">
        <v>0</v>
      </c>
      <c r="C6" s="11">
        <v>0.2</v>
      </c>
      <c r="D6" s="10">
        <f t="shared" ref="D6:D15" si="0">B6+(B6*C6)</f>
        <v>0</v>
      </c>
      <c r="E6" s="12"/>
      <c r="F6" s="10">
        <f t="shared" ref="F6:H6" si="1">IF($E6&lt;=F$5, $D6/12, 0)</f>
        <v>0</v>
      </c>
      <c r="G6" s="10">
        <f t="shared" si="1"/>
        <v>0</v>
      </c>
      <c r="H6" s="10">
        <f t="shared" si="1"/>
        <v>0</v>
      </c>
      <c r="I6" s="13">
        <f t="shared" ref="I6:I15" si="2">SUM(F6:H6)</f>
        <v>0</v>
      </c>
      <c r="J6" s="10">
        <f t="shared" ref="J6:L6" si="3">IF($E6&lt;=J$5, $D6/12, 0)</f>
        <v>0</v>
      </c>
      <c r="K6" s="10">
        <f t="shared" si="3"/>
        <v>0</v>
      </c>
      <c r="L6" s="10">
        <f t="shared" si="3"/>
        <v>0</v>
      </c>
      <c r="M6" s="13">
        <f t="shared" ref="M6:M15" si="4">SUM(J6:L6)</f>
        <v>0</v>
      </c>
      <c r="N6" s="10">
        <f t="shared" ref="N6:P6" si="5">IF($E6&lt;=N$5, $D6/12, 0)</f>
        <v>0</v>
      </c>
      <c r="O6" s="10">
        <f t="shared" si="5"/>
        <v>0</v>
      </c>
      <c r="P6" s="10">
        <f t="shared" si="5"/>
        <v>0</v>
      </c>
      <c r="Q6" s="13">
        <f t="shared" ref="Q6:Q15" si="6">SUM(N6:P6)</f>
        <v>0</v>
      </c>
      <c r="R6" s="10">
        <f t="shared" ref="R6:T6" si="7">IF($E6&lt;=R$5, $D6/12, 0)</f>
        <v>0</v>
      </c>
      <c r="S6" s="10">
        <f t="shared" si="7"/>
        <v>0</v>
      </c>
      <c r="T6" s="10">
        <f t="shared" si="7"/>
        <v>0</v>
      </c>
      <c r="U6" s="13">
        <f t="shared" ref="U6:U15" si="8">SUM(R6:T6)</f>
        <v>0</v>
      </c>
      <c r="V6" s="14">
        <f t="shared" ref="V6:V15" si="9">I6+M6+Q6+U6</f>
        <v>0</v>
      </c>
    </row>
    <row r="7" spans="1:22" ht="15.75" customHeight="1" x14ac:dyDescent="0.3">
      <c r="A7" s="9" t="s">
        <v>7</v>
      </c>
      <c r="B7" s="10">
        <v>0</v>
      </c>
      <c r="C7" s="11">
        <v>0.2</v>
      </c>
      <c r="D7" s="10">
        <f t="shared" si="0"/>
        <v>0</v>
      </c>
      <c r="E7" s="12"/>
      <c r="F7" s="10">
        <f t="shared" ref="F7:H7" si="10">IF($E7&lt;=F$5, $D7/12, 0)</f>
        <v>0</v>
      </c>
      <c r="G7" s="10">
        <f t="shared" si="10"/>
        <v>0</v>
      </c>
      <c r="H7" s="10">
        <f t="shared" si="10"/>
        <v>0</v>
      </c>
      <c r="I7" s="13">
        <f t="shared" si="2"/>
        <v>0</v>
      </c>
      <c r="J7" s="10">
        <f t="shared" ref="J7:L7" si="11">IF($E7&lt;=J$5, $D7/12, 0)</f>
        <v>0</v>
      </c>
      <c r="K7" s="10">
        <f t="shared" si="11"/>
        <v>0</v>
      </c>
      <c r="L7" s="10">
        <f t="shared" si="11"/>
        <v>0</v>
      </c>
      <c r="M7" s="13">
        <f t="shared" si="4"/>
        <v>0</v>
      </c>
      <c r="N7" s="10">
        <f t="shared" ref="N7:P7" si="12">IF($E7&lt;=N$5, $D7/12, 0)</f>
        <v>0</v>
      </c>
      <c r="O7" s="10">
        <f t="shared" si="12"/>
        <v>0</v>
      </c>
      <c r="P7" s="10">
        <f t="shared" si="12"/>
        <v>0</v>
      </c>
      <c r="Q7" s="13">
        <f t="shared" si="6"/>
        <v>0</v>
      </c>
      <c r="R7" s="10">
        <f t="shared" ref="R7:T7" si="13">IF($E7&lt;=R$5, $D7/12, 0)</f>
        <v>0</v>
      </c>
      <c r="S7" s="10">
        <f t="shared" si="13"/>
        <v>0</v>
      </c>
      <c r="T7" s="10">
        <f t="shared" si="13"/>
        <v>0</v>
      </c>
      <c r="U7" s="13">
        <f t="shared" si="8"/>
        <v>0</v>
      </c>
      <c r="V7" s="14">
        <f t="shared" si="9"/>
        <v>0</v>
      </c>
    </row>
    <row r="8" spans="1:22" ht="15.75" customHeight="1" x14ac:dyDescent="0.3">
      <c r="A8" s="9" t="s">
        <v>8</v>
      </c>
      <c r="B8" s="10">
        <v>0</v>
      </c>
      <c r="C8" s="11">
        <v>0.2</v>
      </c>
      <c r="D8" s="10">
        <f t="shared" si="0"/>
        <v>0</v>
      </c>
      <c r="E8" s="12"/>
      <c r="F8" s="10">
        <f t="shared" ref="F8:H8" si="14">IF($E8&lt;=F$5, $D8/12, 0)</f>
        <v>0</v>
      </c>
      <c r="G8" s="10">
        <f t="shared" si="14"/>
        <v>0</v>
      </c>
      <c r="H8" s="10">
        <f t="shared" si="14"/>
        <v>0</v>
      </c>
      <c r="I8" s="13">
        <f t="shared" si="2"/>
        <v>0</v>
      </c>
      <c r="J8" s="10">
        <f t="shared" ref="J8:L8" si="15">IF($E8&lt;=J$5, $D8/12, 0)</f>
        <v>0</v>
      </c>
      <c r="K8" s="10">
        <f t="shared" si="15"/>
        <v>0</v>
      </c>
      <c r="L8" s="10">
        <f t="shared" si="15"/>
        <v>0</v>
      </c>
      <c r="M8" s="13">
        <f t="shared" si="4"/>
        <v>0</v>
      </c>
      <c r="N8" s="10">
        <f t="shared" ref="N8:P8" si="16">IF($E8&lt;=N$5, $D8/12, 0)</f>
        <v>0</v>
      </c>
      <c r="O8" s="10">
        <f t="shared" si="16"/>
        <v>0</v>
      </c>
      <c r="P8" s="10">
        <f t="shared" si="16"/>
        <v>0</v>
      </c>
      <c r="Q8" s="13">
        <f t="shared" si="6"/>
        <v>0</v>
      </c>
      <c r="R8" s="10">
        <f t="shared" ref="R8:T8" si="17">IF($E8&lt;=R$5, $D8/12, 0)</f>
        <v>0</v>
      </c>
      <c r="S8" s="10">
        <f t="shared" si="17"/>
        <v>0</v>
      </c>
      <c r="T8" s="10">
        <f t="shared" si="17"/>
        <v>0</v>
      </c>
      <c r="U8" s="13">
        <f t="shared" si="8"/>
        <v>0</v>
      </c>
      <c r="V8" s="14">
        <f t="shared" si="9"/>
        <v>0</v>
      </c>
    </row>
    <row r="9" spans="1:22" ht="15.75" customHeight="1" x14ac:dyDescent="0.3">
      <c r="A9" s="9" t="s">
        <v>10</v>
      </c>
      <c r="B9" s="10">
        <v>0</v>
      </c>
      <c r="C9" s="11">
        <v>0.2</v>
      </c>
      <c r="D9" s="10">
        <f t="shared" si="0"/>
        <v>0</v>
      </c>
      <c r="E9" s="12"/>
      <c r="F9" s="10">
        <f t="shared" ref="F9:H9" si="18">IF($E9&lt;=F$5, $D9/12, 0)</f>
        <v>0</v>
      </c>
      <c r="G9" s="10">
        <f t="shared" si="18"/>
        <v>0</v>
      </c>
      <c r="H9" s="10">
        <f t="shared" si="18"/>
        <v>0</v>
      </c>
      <c r="I9" s="13">
        <f t="shared" si="2"/>
        <v>0</v>
      </c>
      <c r="J9" s="10">
        <f t="shared" ref="J9:L9" si="19">IF($E9&lt;=J$5, $D9/12, 0)</f>
        <v>0</v>
      </c>
      <c r="K9" s="10">
        <f t="shared" si="19"/>
        <v>0</v>
      </c>
      <c r="L9" s="10">
        <f t="shared" si="19"/>
        <v>0</v>
      </c>
      <c r="M9" s="13">
        <f t="shared" si="4"/>
        <v>0</v>
      </c>
      <c r="N9" s="10">
        <f t="shared" ref="N9:P9" si="20">IF($E9&lt;=N$5, $D9/12, 0)</f>
        <v>0</v>
      </c>
      <c r="O9" s="10">
        <f t="shared" si="20"/>
        <v>0</v>
      </c>
      <c r="P9" s="10">
        <f t="shared" si="20"/>
        <v>0</v>
      </c>
      <c r="Q9" s="13">
        <f t="shared" si="6"/>
        <v>0</v>
      </c>
      <c r="R9" s="10">
        <f t="shared" ref="R9:T9" si="21">IF($E9&lt;=R$5, $D9/12, 0)</f>
        <v>0</v>
      </c>
      <c r="S9" s="10">
        <f t="shared" si="21"/>
        <v>0</v>
      </c>
      <c r="T9" s="10">
        <f t="shared" si="21"/>
        <v>0</v>
      </c>
      <c r="U9" s="13">
        <f t="shared" si="8"/>
        <v>0</v>
      </c>
      <c r="V9" s="14">
        <f t="shared" si="9"/>
        <v>0</v>
      </c>
    </row>
    <row r="10" spans="1:22" ht="15.75" customHeight="1" x14ac:dyDescent="0.3">
      <c r="A10" s="9" t="s">
        <v>11</v>
      </c>
      <c r="B10" s="10">
        <v>0</v>
      </c>
      <c r="C10" s="11">
        <v>0.2</v>
      </c>
      <c r="D10" s="10">
        <f t="shared" si="0"/>
        <v>0</v>
      </c>
      <c r="E10" s="12"/>
      <c r="F10" s="10">
        <f t="shared" ref="F10:H10" si="22">IF($E10&lt;=F$5, $D10/12, 0)</f>
        <v>0</v>
      </c>
      <c r="G10" s="10">
        <f t="shared" si="22"/>
        <v>0</v>
      </c>
      <c r="H10" s="10">
        <f t="shared" si="22"/>
        <v>0</v>
      </c>
      <c r="I10" s="13">
        <f t="shared" si="2"/>
        <v>0</v>
      </c>
      <c r="J10" s="10">
        <f t="shared" ref="J10:L10" si="23">IF($E10&lt;=J$5, $D10/12, 0)</f>
        <v>0</v>
      </c>
      <c r="K10" s="10">
        <f t="shared" si="23"/>
        <v>0</v>
      </c>
      <c r="L10" s="10">
        <f t="shared" si="23"/>
        <v>0</v>
      </c>
      <c r="M10" s="13">
        <f t="shared" si="4"/>
        <v>0</v>
      </c>
      <c r="N10" s="10">
        <f t="shared" ref="N10:P10" si="24">IF($E10&lt;=N$5, $D10/12, 0)</f>
        <v>0</v>
      </c>
      <c r="O10" s="10">
        <f t="shared" si="24"/>
        <v>0</v>
      </c>
      <c r="P10" s="10">
        <f t="shared" si="24"/>
        <v>0</v>
      </c>
      <c r="Q10" s="13">
        <f t="shared" si="6"/>
        <v>0</v>
      </c>
      <c r="R10" s="10">
        <f t="shared" ref="R10:T10" si="25">IF($E10&lt;=R$5, $D10/12, 0)</f>
        <v>0</v>
      </c>
      <c r="S10" s="10">
        <f t="shared" si="25"/>
        <v>0</v>
      </c>
      <c r="T10" s="10">
        <f t="shared" si="25"/>
        <v>0</v>
      </c>
      <c r="U10" s="13">
        <f t="shared" si="8"/>
        <v>0</v>
      </c>
      <c r="V10" s="14">
        <f t="shared" si="9"/>
        <v>0</v>
      </c>
    </row>
    <row r="11" spans="1:22" ht="15.75" customHeight="1" x14ac:dyDescent="0.3">
      <c r="A11" s="9" t="s">
        <v>12</v>
      </c>
      <c r="B11" s="10">
        <v>0</v>
      </c>
      <c r="C11" s="11">
        <v>0.2</v>
      </c>
      <c r="D11" s="10">
        <f t="shared" si="0"/>
        <v>0</v>
      </c>
      <c r="F11" s="10">
        <f t="shared" ref="F11:H11" si="26">IF($E11&lt;=F$5, $D11/12, 0)</f>
        <v>0</v>
      </c>
      <c r="G11" s="10">
        <f t="shared" si="26"/>
        <v>0</v>
      </c>
      <c r="H11" s="10">
        <f t="shared" si="26"/>
        <v>0</v>
      </c>
      <c r="I11" s="13">
        <f t="shared" si="2"/>
        <v>0</v>
      </c>
      <c r="J11" s="10">
        <f t="shared" ref="J11:L11" si="27">IF($E11&lt;=J$5, $D11/12, 0)</f>
        <v>0</v>
      </c>
      <c r="K11" s="10">
        <f t="shared" si="27"/>
        <v>0</v>
      </c>
      <c r="L11" s="10">
        <f t="shared" si="27"/>
        <v>0</v>
      </c>
      <c r="M11" s="13">
        <f t="shared" si="4"/>
        <v>0</v>
      </c>
      <c r="N11" s="10">
        <f t="shared" ref="N11:P11" si="28">IF($E11&lt;=N$5, $D11/12, 0)</f>
        <v>0</v>
      </c>
      <c r="O11" s="10">
        <f t="shared" si="28"/>
        <v>0</v>
      </c>
      <c r="P11" s="10">
        <f t="shared" si="28"/>
        <v>0</v>
      </c>
      <c r="Q11" s="13">
        <f t="shared" si="6"/>
        <v>0</v>
      </c>
      <c r="R11" s="10">
        <f t="shared" ref="R11:T11" si="29">IF($E11&lt;=R$5, $D11/12, 0)</f>
        <v>0</v>
      </c>
      <c r="S11" s="10">
        <f t="shared" si="29"/>
        <v>0</v>
      </c>
      <c r="T11" s="10">
        <f t="shared" si="29"/>
        <v>0</v>
      </c>
      <c r="U11" s="13">
        <f t="shared" si="8"/>
        <v>0</v>
      </c>
      <c r="V11" s="14">
        <f t="shared" si="9"/>
        <v>0</v>
      </c>
    </row>
    <row r="12" spans="1:22" ht="15.75" customHeight="1" x14ac:dyDescent="0.3">
      <c r="A12" s="9" t="s">
        <v>12</v>
      </c>
      <c r="B12" s="10">
        <v>0</v>
      </c>
      <c r="C12" s="11">
        <v>0.2</v>
      </c>
      <c r="D12" s="10">
        <f t="shared" si="0"/>
        <v>0</v>
      </c>
      <c r="F12" s="10">
        <f t="shared" ref="F12:H12" si="30">IF($E12&lt;=F$5, $D12/12, 0)</f>
        <v>0</v>
      </c>
      <c r="G12" s="10">
        <f t="shared" si="30"/>
        <v>0</v>
      </c>
      <c r="H12" s="10">
        <f t="shared" si="30"/>
        <v>0</v>
      </c>
      <c r="I12" s="13">
        <f t="shared" si="2"/>
        <v>0</v>
      </c>
      <c r="J12" s="10">
        <f t="shared" ref="J12:L12" si="31">IF($E12&lt;=J$5, $D12/12, 0)</f>
        <v>0</v>
      </c>
      <c r="K12" s="10">
        <f t="shared" si="31"/>
        <v>0</v>
      </c>
      <c r="L12" s="10">
        <f t="shared" si="31"/>
        <v>0</v>
      </c>
      <c r="M12" s="13">
        <f t="shared" si="4"/>
        <v>0</v>
      </c>
      <c r="N12" s="10">
        <f t="shared" ref="N12:P12" si="32">IF($E12&lt;=N$5, $D12/12, 0)</f>
        <v>0</v>
      </c>
      <c r="O12" s="10">
        <f t="shared" si="32"/>
        <v>0</v>
      </c>
      <c r="P12" s="10">
        <f t="shared" si="32"/>
        <v>0</v>
      </c>
      <c r="Q12" s="13">
        <f t="shared" si="6"/>
        <v>0</v>
      </c>
      <c r="R12" s="10">
        <f t="shared" ref="R12:T12" si="33">IF($E12&lt;=R$5, $D12/12, 0)</f>
        <v>0</v>
      </c>
      <c r="S12" s="10">
        <f t="shared" si="33"/>
        <v>0</v>
      </c>
      <c r="T12" s="10">
        <f t="shared" si="33"/>
        <v>0</v>
      </c>
      <c r="U12" s="13">
        <f t="shared" si="8"/>
        <v>0</v>
      </c>
      <c r="V12" s="14">
        <f t="shared" si="9"/>
        <v>0</v>
      </c>
    </row>
    <row r="13" spans="1:22" ht="15.75" customHeight="1" x14ac:dyDescent="0.3">
      <c r="A13" s="9" t="s">
        <v>12</v>
      </c>
      <c r="B13" s="10">
        <v>0</v>
      </c>
      <c r="C13" s="11">
        <v>0.2</v>
      </c>
      <c r="D13" s="10">
        <f t="shared" si="0"/>
        <v>0</v>
      </c>
      <c r="F13" s="10">
        <f t="shared" ref="F13:H13" si="34">IF($E13&lt;=F$5, $D13/12, 0)</f>
        <v>0</v>
      </c>
      <c r="G13" s="10">
        <f t="shared" si="34"/>
        <v>0</v>
      </c>
      <c r="H13" s="10">
        <f t="shared" si="34"/>
        <v>0</v>
      </c>
      <c r="I13" s="13">
        <f t="shared" si="2"/>
        <v>0</v>
      </c>
      <c r="J13" s="10">
        <f t="shared" ref="J13:L13" si="35">IF($E13&lt;=J$5, $D13/12, 0)</f>
        <v>0</v>
      </c>
      <c r="K13" s="10">
        <f t="shared" si="35"/>
        <v>0</v>
      </c>
      <c r="L13" s="10">
        <f t="shared" si="35"/>
        <v>0</v>
      </c>
      <c r="M13" s="13">
        <f t="shared" si="4"/>
        <v>0</v>
      </c>
      <c r="N13" s="10">
        <f t="shared" ref="N13:P13" si="36">IF($E13&lt;=N$5, $D13/12, 0)</f>
        <v>0</v>
      </c>
      <c r="O13" s="10">
        <f t="shared" si="36"/>
        <v>0</v>
      </c>
      <c r="P13" s="10">
        <f t="shared" si="36"/>
        <v>0</v>
      </c>
      <c r="Q13" s="13">
        <f t="shared" si="6"/>
        <v>0</v>
      </c>
      <c r="R13" s="10">
        <f t="shared" ref="R13:T13" si="37">IF($E13&lt;=R$5, $D13/12, 0)</f>
        <v>0</v>
      </c>
      <c r="S13" s="10">
        <f t="shared" si="37"/>
        <v>0</v>
      </c>
      <c r="T13" s="10">
        <f t="shared" si="37"/>
        <v>0</v>
      </c>
      <c r="U13" s="13">
        <f t="shared" si="8"/>
        <v>0</v>
      </c>
      <c r="V13" s="14">
        <f t="shared" si="9"/>
        <v>0</v>
      </c>
    </row>
    <row r="14" spans="1:22" ht="15.75" customHeight="1" x14ac:dyDescent="0.3">
      <c r="A14" s="9" t="s">
        <v>12</v>
      </c>
      <c r="B14" s="10">
        <v>0</v>
      </c>
      <c r="C14" s="11">
        <v>0.2</v>
      </c>
      <c r="D14" s="10">
        <f t="shared" si="0"/>
        <v>0</v>
      </c>
      <c r="F14" s="10">
        <f t="shared" ref="F14:H14" si="38">IF($E14&lt;=F$5, $D14/12, 0)</f>
        <v>0</v>
      </c>
      <c r="G14" s="10">
        <f t="shared" si="38"/>
        <v>0</v>
      </c>
      <c r="H14" s="10">
        <f t="shared" si="38"/>
        <v>0</v>
      </c>
      <c r="I14" s="13">
        <f t="shared" si="2"/>
        <v>0</v>
      </c>
      <c r="J14" s="10">
        <f t="shared" ref="J14:L14" si="39">IF($E14&lt;=J$5, $D14/12, 0)</f>
        <v>0</v>
      </c>
      <c r="K14" s="10">
        <f t="shared" si="39"/>
        <v>0</v>
      </c>
      <c r="L14" s="10">
        <f t="shared" si="39"/>
        <v>0</v>
      </c>
      <c r="M14" s="13">
        <f t="shared" si="4"/>
        <v>0</v>
      </c>
      <c r="N14" s="10">
        <f t="shared" ref="N14:P14" si="40">IF($E14&lt;=N$5, $D14/12, 0)</f>
        <v>0</v>
      </c>
      <c r="O14" s="10">
        <f t="shared" si="40"/>
        <v>0</v>
      </c>
      <c r="P14" s="10">
        <f t="shared" si="40"/>
        <v>0</v>
      </c>
      <c r="Q14" s="13">
        <f t="shared" si="6"/>
        <v>0</v>
      </c>
      <c r="R14" s="10">
        <f t="shared" ref="R14:T14" si="41">IF($E14&lt;=R$5, $D14/12, 0)</f>
        <v>0</v>
      </c>
      <c r="S14" s="10">
        <f t="shared" si="41"/>
        <v>0</v>
      </c>
      <c r="T14" s="10">
        <f t="shared" si="41"/>
        <v>0</v>
      </c>
      <c r="U14" s="13">
        <f t="shared" si="8"/>
        <v>0</v>
      </c>
      <c r="V14" s="14">
        <f t="shared" si="9"/>
        <v>0</v>
      </c>
    </row>
    <row r="15" spans="1:22" ht="15.75" customHeight="1" x14ac:dyDescent="0.3">
      <c r="A15" s="9" t="s">
        <v>12</v>
      </c>
      <c r="B15" s="10">
        <v>0</v>
      </c>
      <c r="C15" s="11">
        <v>0.2</v>
      </c>
      <c r="D15" s="10">
        <f t="shared" si="0"/>
        <v>0</v>
      </c>
      <c r="F15" s="10">
        <f t="shared" ref="F15:H15" si="42">IF($E15&lt;=F$5, $D15/12, 0)</f>
        <v>0</v>
      </c>
      <c r="G15" s="10">
        <f t="shared" si="42"/>
        <v>0</v>
      </c>
      <c r="H15" s="10">
        <f t="shared" si="42"/>
        <v>0</v>
      </c>
      <c r="I15" s="13">
        <f t="shared" si="2"/>
        <v>0</v>
      </c>
      <c r="J15" s="10">
        <f t="shared" ref="J15:L15" si="43">IF($E15&lt;=J$5, $D15/12, 0)</f>
        <v>0</v>
      </c>
      <c r="K15" s="10">
        <f t="shared" si="43"/>
        <v>0</v>
      </c>
      <c r="L15" s="10">
        <f t="shared" si="43"/>
        <v>0</v>
      </c>
      <c r="M15" s="13">
        <f t="shared" si="4"/>
        <v>0</v>
      </c>
      <c r="N15" s="10">
        <f t="shared" ref="N15:P15" si="44">IF($E15&lt;=N$5, $D15/12, 0)</f>
        <v>0</v>
      </c>
      <c r="O15" s="10">
        <f t="shared" si="44"/>
        <v>0</v>
      </c>
      <c r="P15" s="10">
        <f t="shared" si="44"/>
        <v>0</v>
      </c>
      <c r="Q15" s="13">
        <f t="shared" si="6"/>
        <v>0</v>
      </c>
      <c r="R15" s="10">
        <f t="shared" ref="R15:T15" si="45">IF($E15&lt;=R$5, $D15/12, 0)</f>
        <v>0</v>
      </c>
      <c r="S15" s="10">
        <f t="shared" si="45"/>
        <v>0</v>
      </c>
      <c r="T15" s="10">
        <f t="shared" si="45"/>
        <v>0</v>
      </c>
      <c r="U15" s="13">
        <f t="shared" si="8"/>
        <v>0</v>
      </c>
      <c r="V15" s="14">
        <f t="shared" si="9"/>
        <v>0</v>
      </c>
    </row>
    <row r="16" spans="1:22" ht="15.75" customHeight="1" x14ac:dyDescent="0.3">
      <c r="A16" s="25" t="s">
        <v>13</v>
      </c>
      <c r="B16" s="26">
        <f>SUM(B6:B15)</f>
        <v>0</v>
      </c>
      <c r="C16" s="27"/>
      <c r="D16" s="27"/>
      <c r="E16" s="27"/>
      <c r="F16" s="26">
        <f t="shared" ref="F16:V16" si="46">SUM(F6:F15)</f>
        <v>0</v>
      </c>
      <c r="G16" s="26">
        <f t="shared" si="46"/>
        <v>0</v>
      </c>
      <c r="H16" s="26">
        <f t="shared" si="46"/>
        <v>0</v>
      </c>
      <c r="I16" s="28">
        <f t="shared" si="46"/>
        <v>0</v>
      </c>
      <c r="J16" s="26">
        <f t="shared" si="46"/>
        <v>0</v>
      </c>
      <c r="K16" s="26">
        <f t="shared" si="46"/>
        <v>0</v>
      </c>
      <c r="L16" s="26">
        <f t="shared" si="46"/>
        <v>0</v>
      </c>
      <c r="M16" s="28">
        <f t="shared" si="46"/>
        <v>0</v>
      </c>
      <c r="N16" s="26">
        <f t="shared" si="46"/>
        <v>0</v>
      </c>
      <c r="O16" s="26">
        <f t="shared" si="46"/>
        <v>0</v>
      </c>
      <c r="P16" s="26">
        <f t="shared" si="46"/>
        <v>0</v>
      </c>
      <c r="Q16" s="28">
        <f t="shared" si="46"/>
        <v>0</v>
      </c>
      <c r="R16" s="26">
        <f t="shared" si="46"/>
        <v>0</v>
      </c>
      <c r="S16" s="26">
        <f t="shared" si="46"/>
        <v>0</v>
      </c>
      <c r="T16" s="26">
        <f t="shared" si="46"/>
        <v>0</v>
      </c>
      <c r="U16" s="28">
        <f t="shared" si="46"/>
        <v>0</v>
      </c>
      <c r="V16" s="29">
        <f t="shared" si="46"/>
        <v>0</v>
      </c>
    </row>
    <row r="17" spans="1:22" ht="15.75" customHeight="1" x14ac:dyDescent="0.3">
      <c r="A17" s="30" t="s">
        <v>14</v>
      </c>
      <c r="B17" s="31"/>
      <c r="C17" s="31"/>
      <c r="D17" s="31"/>
      <c r="E17" s="31"/>
      <c r="F17" s="31">
        <f t="shared" ref="F17:V17" si="47">COUNTIF(F6:F15,"&gt;0")</f>
        <v>0</v>
      </c>
      <c r="G17" s="31">
        <f t="shared" si="47"/>
        <v>0</v>
      </c>
      <c r="H17" s="31">
        <f t="shared" si="47"/>
        <v>0</v>
      </c>
      <c r="I17" s="31">
        <f t="shared" si="47"/>
        <v>0</v>
      </c>
      <c r="J17" s="31">
        <f t="shared" si="47"/>
        <v>0</v>
      </c>
      <c r="K17" s="31">
        <f t="shared" si="47"/>
        <v>0</v>
      </c>
      <c r="L17" s="31">
        <f t="shared" si="47"/>
        <v>0</v>
      </c>
      <c r="M17" s="31">
        <f t="shared" si="47"/>
        <v>0</v>
      </c>
      <c r="N17" s="31">
        <f t="shared" si="47"/>
        <v>0</v>
      </c>
      <c r="O17" s="31">
        <f t="shared" si="47"/>
        <v>0</v>
      </c>
      <c r="P17" s="31">
        <f t="shared" si="47"/>
        <v>0</v>
      </c>
      <c r="Q17" s="31">
        <f t="shared" si="47"/>
        <v>0</v>
      </c>
      <c r="R17" s="31">
        <f t="shared" si="47"/>
        <v>0</v>
      </c>
      <c r="S17" s="31">
        <f t="shared" si="47"/>
        <v>0</v>
      </c>
      <c r="T17" s="31">
        <f t="shared" si="47"/>
        <v>0</v>
      </c>
      <c r="U17" s="31">
        <f t="shared" si="47"/>
        <v>0</v>
      </c>
      <c r="V17" s="32">
        <f t="shared" si="47"/>
        <v>0</v>
      </c>
    </row>
    <row r="18" spans="1:22" ht="15.75" customHeight="1" x14ac:dyDescent="0.3"/>
    <row r="19" spans="1:22" ht="15.75" customHeight="1" x14ac:dyDescent="0.3"/>
    <row r="20" spans="1:22" ht="18.75" customHeight="1" x14ac:dyDescent="0.35">
      <c r="A20" s="1" t="s">
        <v>15</v>
      </c>
    </row>
    <row r="21" spans="1:22" ht="15.75" customHeight="1" x14ac:dyDescent="0.3">
      <c r="A21" s="3" t="s">
        <v>2</v>
      </c>
      <c r="B21" s="4" t="s">
        <v>16</v>
      </c>
      <c r="C21" s="33"/>
      <c r="D21" s="33"/>
      <c r="E21" s="5" t="s">
        <v>17</v>
      </c>
      <c r="F21" s="6">
        <v>45658</v>
      </c>
      <c r="G21" s="6">
        <v>45689</v>
      </c>
      <c r="H21" s="6">
        <v>45717</v>
      </c>
      <c r="I21" s="7" t="s">
        <v>58</v>
      </c>
      <c r="J21" s="6">
        <v>45748</v>
      </c>
      <c r="K21" s="6">
        <v>45778</v>
      </c>
      <c r="L21" s="6">
        <v>45809</v>
      </c>
      <c r="M21" s="7" t="s">
        <v>59</v>
      </c>
      <c r="N21" s="6">
        <v>45839</v>
      </c>
      <c r="O21" s="6">
        <v>45870</v>
      </c>
      <c r="P21" s="6">
        <v>45901</v>
      </c>
      <c r="Q21" s="7" t="s">
        <v>60</v>
      </c>
      <c r="R21" s="6">
        <v>45931</v>
      </c>
      <c r="S21" s="6">
        <v>45962</v>
      </c>
      <c r="T21" s="6">
        <v>45992</v>
      </c>
      <c r="U21" s="7" t="s">
        <v>61</v>
      </c>
      <c r="V21" s="8" t="s">
        <v>62</v>
      </c>
    </row>
    <row r="22" spans="1:22" ht="15.75" customHeight="1" x14ac:dyDescent="0.3">
      <c r="A22" t="s">
        <v>18</v>
      </c>
      <c r="B22" s="10">
        <v>0</v>
      </c>
      <c r="E22" s="12"/>
      <c r="F22" s="10">
        <f t="shared" ref="F22:H22" si="48">IF($E22&lt;=F$21, $B22/12, 0)</f>
        <v>0</v>
      </c>
      <c r="G22" s="10">
        <f t="shared" si="48"/>
        <v>0</v>
      </c>
      <c r="H22" s="10">
        <f t="shared" si="48"/>
        <v>0</v>
      </c>
      <c r="I22" s="13">
        <f t="shared" ref="I22:I25" si="49">SUM(F22:H22)</f>
        <v>0</v>
      </c>
      <c r="J22" s="10">
        <f t="shared" ref="J22:L22" si="50">IF($E22&lt;=J$21, $B22/12, 0)</f>
        <v>0</v>
      </c>
      <c r="K22" s="10">
        <f t="shared" si="50"/>
        <v>0</v>
      </c>
      <c r="L22" s="10">
        <f t="shared" si="50"/>
        <v>0</v>
      </c>
      <c r="M22" s="13">
        <f t="shared" ref="M22:M25" si="51">SUM(J22:L22)</f>
        <v>0</v>
      </c>
      <c r="N22" s="10">
        <f t="shared" ref="N22:P22" si="52">IF($E22&lt;=N$21, $B22/12, 0)</f>
        <v>0</v>
      </c>
      <c r="O22" s="10">
        <f t="shared" si="52"/>
        <v>0</v>
      </c>
      <c r="P22" s="10">
        <f t="shared" si="52"/>
        <v>0</v>
      </c>
      <c r="Q22" s="13">
        <f t="shared" ref="Q22:Q25" si="53">SUM(N22:P22)</f>
        <v>0</v>
      </c>
      <c r="R22" s="10">
        <f t="shared" ref="R22:T22" si="54">IF($E22&lt;=R$21, $B22/12, 0)</f>
        <v>0</v>
      </c>
      <c r="S22" s="10">
        <f t="shared" si="54"/>
        <v>0</v>
      </c>
      <c r="T22" s="10">
        <f t="shared" si="54"/>
        <v>0</v>
      </c>
      <c r="U22" s="13">
        <f t="shared" ref="U22:U25" si="55">SUM(R22:T22)</f>
        <v>0</v>
      </c>
      <c r="V22" s="10">
        <f t="shared" ref="V22:V25" si="56">I22+M22+Q22+U22</f>
        <v>0</v>
      </c>
    </row>
    <row r="23" spans="1:22" ht="15.75" customHeight="1" x14ac:dyDescent="0.3">
      <c r="A23" t="s">
        <v>12</v>
      </c>
      <c r="B23" s="10">
        <v>0</v>
      </c>
      <c r="E23" s="12"/>
      <c r="F23" s="10">
        <f t="shared" ref="F23:H23" si="57">IF($E23&lt;=F$21, $B23/12, 0)</f>
        <v>0</v>
      </c>
      <c r="G23" s="10">
        <f t="shared" si="57"/>
        <v>0</v>
      </c>
      <c r="H23" s="10">
        <f t="shared" si="57"/>
        <v>0</v>
      </c>
      <c r="I23" s="13">
        <f t="shared" si="49"/>
        <v>0</v>
      </c>
      <c r="J23" s="10">
        <f t="shared" ref="J23:L23" si="58">IF($E23&lt;=J$21, $B23/12, 0)</f>
        <v>0</v>
      </c>
      <c r="K23" s="10">
        <f t="shared" si="58"/>
        <v>0</v>
      </c>
      <c r="L23" s="10">
        <f t="shared" si="58"/>
        <v>0</v>
      </c>
      <c r="M23" s="13">
        <f t="shared" si="51"/>
        <v>0</v>
      </c>
      <c r="N23" s="10">
        <f t="shared" ref="N23:P23" si="59">IF($E23&lt;=N$21, $B23/12, 0)</f>
        <v>0</v>
      </c>
      <c r="O23" s="10">
        <f t="shared" si="59"/>
        <v>0</v>
      </c>
      <c r="P23" s="10">
        <f t="shared" si="59"/>
        <v>0</v>
      </c>
      <c r="Q23" s="13">
        <f t="shared" si="53"/>
        <v>0</v>
      </c>
      <c r="R23" s="10">
        <f t="shared" ref="R23:T23" si="60">IF($E23&lt;=R$21, $B23/12, 0)</f>
        <v>0</v>
      </c>
      <c r="S23" s="10">
        <f t="shared" si="60"/>
        <v>0</v>
      </c>
      <c r="T23" s="10">
        <f t="shared" si="60"/>
        <v>0</v>
      </c>
      <c r="U23" s="13">
        <f t="shared" si="55"/>
        <v>0</v>
      </c>
      <c r="V23" s="10">
        <f t="shared" si="56"/>
        <v>0</v>
      </c>
    </row>
    <row r="24" spans="1:22" ht="15.75" customHeight="1" x14ac:dyDescent="0.3">
      <c r="A24" t="s">
        <v>12</v>
      </c>
      <c r="B24" s="10">
        <v>0</v>
      </c>
      <c r="E24" s="12"/>
      <c r="F24" s="10">
        <f t="shared" ref="F24:H24" si="61">IF($E24&lt;=F$21, $B24/12, 0)</f>
        <v>0</v>
      </c>
      <c r="G24" s="10">
        <f t="shared" si="61"/>
        <v>0</v>
      </c>
      <c r="H24" s="10">
        <f t="shared" si="61"/>
        <v>0</v>
      </c>
      <c r="I24" s="13">
        <f t="shared" si="49"/>
        <v>0</v>
      </c>
      <c r="J24" s="10">
        <f t="shared" ref="J24:L24" si="62">IF($E24&lt;=J$21, $B24/12, 0)</f>
        <v>0</v>
      </c>
      <c r="K24" s="10">
        <f t="shared" si="62"/>
        <v>0</v>
      </c>
      <c r="L24" s="10">
        <f t="shared" si="62"/>
        <v>0</v>
      </c>
      <c r="M24" s="13">
        <f t="shared" si="51"/>
        <v>0</v>
      </c>
      <c r="N24" s="10">
        <f t="shared" ref="N24:P24" si="63">IF($E24&lt;=N$21, $B24/12, 0)</f>
        <v>0</v>
      </c>
      <c r="O24" s="10">
        <f t="shared" si="63"/>
        <v>0</v>
      </c>
      <c r="P24" s="10">
        <f t="shared" si="63"/>
        <v>0</v>
      </c>
      <c r="Q24" s="13">
        <f t="shared" si="53"/>
        <v>0</v>
      </c>
      <c r="R24" s="10">
        <f t="shared" ref="R24:T24" si="64">IF($E24&lt;=R$21, $B24/12, 0)</f>
        <v>0</v>
      </c>
      <c r="S24" s="10">
        <f t="shared" si="64"/>
        <v>0</v>
      </c>
      <c r="T24" s="10">
        <f t="shared" si="64"/>
        <v>0</v>
      </c>
      <c r="U24" s="13">
        <f t="shared" si="55"/>
        <v>0</v>
      </c>
      <c r="V24" s="10">
        <f t="shared" si="56"/>
        <v>0</v>
      </c>
    </row>
    <row r="25" spans="1:22" ht="15.75" customHeight="1" x14ac:dyDescent="0.3">
      <c r="A25" t="s">
        <v>12</v>
      </c>
      <c r="B25" s="10">
        <v>0</v>
      </c>
      <c r="E25" s="12"/>
      <c r="F25" s="10">
        <f t="shared" ref="F25:H25" si="65">IF($E25&lt;=F$21, $B25/12, 0)</f>
        <v>0</v>
      </c>
      <c r="G25" s="10">
        <f t="shared" si="65"/>
        <v>0</v>
      </c>
      <c r="H25" s="10">
        <f t="shared" si="65"/>
        <v>0</v>
      </c>
      <c r="I25" s="13">
        <f t="shared" si="49"/>
        <v>0</v>
      </c>
      <c r="J25" s="10">
        <f t="shared" ref="J25:L25" si="66">IF($E25&lt;=J$21, $B25/12, 0)</f>
        <v>0</v>
      </c>
      <c r="K25" s="10">
        <f t="shared" si="66"/>
        <v>0</v>
      </c>
      <c r="L25" s="10">
        <f t="shared" si="66"/>
        <v>0</v>
      </c>
      <c r="M25" s="13">
        <f t="shared" si="51"/>
        <v>0</v>
      </c>
      <c r="N25" s="10">
        <f t="shared" ref="N25:P25" si="67">IF($E25&lt;=N$21, $B25/12, 0)</f>
        <v>0</v>
      </c>
      <c r="O25" s="10">
        <f t="shared" si="67"/>
        <v>0</v>
      </c>
      <c r="P25" s="10">
        <f t="shared" si="67"/>
        <v>0</v>
      </c>
      <c r="Q25" s="13">
        <f t="shared" si="53"/>
        <v>0</v>
      </c>
      <c r="R25" s="10">
        <f t="shared" ref="R25:T25" si="68">IF($E25&lt;=R$21, $B25/12, 0)</f>
        <v>0</v>
      </c>
      <c r="S25" s="10">
        <f t="shared" si="68"/>
        <v>0</v>
      </c>
      <c r="T25" s="10">
        <f t="shared" si="68"/>
        <v>0</v>
      </c>
      <c r="U25" s="13">
        <f t="shared" si="55"/>
        <v>0</v>
      </c>
      <c r="V25" s="10">
        <f t="shared" si="56"/>
        <v>0</v>
      </c>
    </row>
    <row r="26" spans="1:22" ht="15.75" customHeight="1" x14ac:dyDescent="0.3">
      <c r="A26" s="34" t="s">
        <v>13</v>
      </c>
      <c r="B26" s="10">
        <f>SUM(B22:B25)</f>
        <v>0</v>
      </c>
      <c r="F26" s="10">
        <f t="shared" ref="F26:V26" si="69">SUM(F22:F23)</f>
        <v>0</v>
      </c>
      <c r="G26" s="10">
        <f t="shared" si="69"/>
        <v>0</v>
      </c>
      <c r="H26" s="10">
        <f t="shared" si="69"/>
        <v>0</v>
      </c>
      <c r="I26" s="13">
        <f t="shared" si="69"/>
        <v>0</v>
      </c>
      <c r="J26" s="10">
        <f t="shared" si="69"/>
        <v>0</v>
      </c>
      <c r="K26" s="10">
        <f t="shared" si="69"/>
        <v>0</v>
      </c>
      <c r="L26" s="10">
        <f t="shared" si="69"/>
        <v>0</v>
      </c>
      <c r="M26" s="13">
        <f t="shared" si="69"/>
        <v>0</v>
      </c>
      <c r="N26" s="10">
        <f t="shared" si="69"/>
        <v>0</v>
      </c>
      <c r="O26" s="10">
        <f t="shared" si="69"/>
        <v>0</v>
      </c>
      <c r="P26" s="10">
        <f t="shared" si="69"/>
        <v>0</v>
      </c>
      <c r="Q26" s="13">
        <f t="shared" si="69"/>
        <v>0</v>
      </c>
      <c r="R26" s="10">
        <f t="shared" si="69"/>
        <v>0</v>
      </c>
      <c r="S26" s="10">
        <f t="shared" si="69"/>
        <v>0</v>
      </c>
      <c r="T26" s="10">
        <f t="shared" si="69"/>
        <v>0</v>
      </c>
      <c r="U26" s="13">
        <f t="shared" si="69"/>
        <v>0</v>
      </c>
      <c r="V26" s="10">
        <f t="shared" si="69"/>
        <v>0</v>
      </c>
    </row>
    <row r="27" spans="1:22" ht="15.75" customHeight="1" x14ac:dyDescent="0.3"/>
    <row r="28" spans="1:22" ht="15.75" customHeight="1" x14ac:dyDescent="0.3"/>
    <row r="29" spans="1:22" ht="18.75" customHeight="1" x14ac:dyDescent="0.35">
      <c r="A29" s="1" t="s">
        <v>19</v>
      </c>
    </row>
    <row r="30" spans="1:22" ht="15.75" customHeight="1" x14ac:dyDescent="0.3">
      <c r="A30" s="3" t="s">
        <v>2</v>
      </c>
      <c r="B30" s="4" t="s">
        <v>16</v>
      </c>
      <c r="C30" s="33"/>
      <c r="D30" s="33"/>
      <c r="E30" s="5" t="s">
        <v>17</v>
      </c>
      <c r="F30" s="6">
        <v>45658</v>
      </c>
      <c r="G30" s="6">
        <v>45689</v>
      </c>
      <c r="H30" s="6">
        <v>45717</v>
      </c>
      <c r="I30" s="7" t="s">
        <v>58</v>
      </c>
      <c r="J30" s="6">
        <v>45748</v>
      </c>
      <c r="K30" s="6">
        <v>45778</v>
      </c>
      <c r="L30" s="6">
        <v>45809</v>
      </c>
      <c r="M30" s="7" t="s">
        <v>59</v>
      </c>
      <c r="N30" s="6">
        <v>45839</v>
      </c>
      <c r="O30" s="6">
        <v>45870</v>
      </c>
      <c r="P30" s="6">
        <v>45901</v>
      </c>
      <c r="Q30" s="7" t="s">
        <v>60</v>
      </c>
      <c r="R30" s="6">
        <v>45931</v>
      </c>
      <c r="S30" s="6">
        <v>45962</v>
      </c>
      <c r="T30" s="6">
        <v>45992</v>
      </c>
      <c r="U30" s="7" t="s">
        <v>61</v>
      </c>
      <c r="V30" s="8" t="s">
        <v>62</v>
      </c>
    </row>
    <row r="31" spans="1:22" ht="15.75" customHeight="1" x14ac:dyDescent="0.3">
      <c r="A31" t="s">
        <v>52</v>
      </c>
      <c r="B31" s="10">
        <v>0</v>
      </c>
      <c r="F31" s="10">
        <f>IF($E35&lt;=F$30, $B31/12, 0)</f>
        <v>0</v>
      </c>
      <c r="G31" s="10">
        <f>IF($E35&lt;=G$30, $B31/12, 0)</f>
        <v>0</v>
      </c>
      <c r="H31" s="10">
        <f>IF($E35&lt;=H$30, $B31/12, 0)</f>
        <v>0</v>
      </c>
      <c r="I31" s="13">
        <f t="shared" ref="I31:I34" si="70">SUM(F31:H31)</f>
        <v>0</v>
      </c>
      <c r="J31" s="10">
        <f>IF($E35&lt;=J$30, $B31/12, 0)</f>
        <v>0</v>
      </c>
      <c r="K31" s="10">
        <f>IF($E35&lt;=K$30, $B31/12, 0)</f>
        <v>0</v>
      </c>
      <c r="L31" s="10">
        <f>IF($E35&lt;=L$30, $B31/12, 0)</f>
        <v>0</v>
      </c>
      <c r="M31" s="13">
        <f t="shared" ref="M31:M34" si="71">SUM(J31:L31)</f>
        <v>0</v>
      </c>
      <c r="N31" s="10">
        <f>IF($E35&lt;=N$30, $B31/12, 0)</f>
        <v>0</v>
      </c>
      <c r="O31" s="10">
        <f>IF($E35&lt;=O$30, $B31/12, 0)</f>
        <v>0</v>
      </c>
      <c r="P31" s="10">
        <f>IF($E35&lt;=P$30, $B31/12, 0)</f>
        <v>0</v>
      </c>
      <c r="Q31" s="13">
        <f t="shared" ref="Q31:Q34" si="72">SUM(N31:P31)</f>
        <v>0</v>
      </c>
      <c r="R31" s="10">
        <f>IF($E35&lt;=R$30, $B31/12, 0)</f>
        <v>0</v>
      </c>
      <c r="S31" s="10">
        <f>IF($E35&lt;=S$30, $B31/12, 0)</f>
        <v>0</v>
      </c>
      <c r="T31" s="10">
        <f>IF($E35&lt;=T$30, $B31/12, 0)</f>
        <v>0</v>
      </c>
      <c r="U31" s="13">
        <f t="shared" ref="U31:U34" si="73">SUM(R31:T31)</f>
        <v>0</v>
      </c>
      <c r="V31" s="10">
        <f t="shared" ref="V31:V34" si="74">I31+M31+Q31+U31</f>
        <v>0</v>
      </c>
    </row>
    <row r="32" spans="1:22" ht="15.75" customHeight="1" x14ac:dyDescent="0.3">
      <c r="A32" t="s">
        <v>12</v>
      </c>
      <c r="B32" s="10">
        <v>0</v>
      </c>
      <c r="E32" s="12"/>
      <c r="F32" s="10">
        <f t="shared" ref="F32:H32" si="75">IF($E32&lt;=F$30, $B32/12, 0)</f>
        <v>0</v>
      </c>
      <c r="G32" s="10">
        <f t="shared" si="75"/>
        <v>0</v>
      </c>
      <c r="H32" s="10">
        <f t="shared" si="75"/>
        <v>0</v>
      </c>
      <c r="I32" s="13">
        <f t="shared" si="70"/>
        <v>0</v>
      </c>
      <c r="J32" s="10">
        <f t="shared" ref="J32:L32" si="76">IF($E32&lt;=J$30, $B32/12, 0)</f>
        <v>0</v>
      </c>
      <c r="K32" s="10">
        <f t="shared" si="76"/>
        <v>0</v>
      </c>
      <c r="L32" s="10">
        <f t="shared" si="76"/>
        <v>0</v>
      </c>
      <c r="M32" s="13">
        <f t="shared" si="71"/>
        <v>0</v>
      </c>
      <c r="N32" s="10">
        <f t="shared" ref="N32:P32" si="77">IF($E32&lt;=N$30, $B32/12, 0)</f>
        <v>0</v>
      </c>
      <c r="O32" s="10">
        <f t="shared" si="77"/>
        <v>0</v>
      </c>
      <c r="P32" s="10">
        <f t="shared" si="77"/>
        <v>0</v>
      </c>
      <c r="Q32" s="13">
        <f t="shared" si="72"/>
        <v>0</v>
      </c>
      <c r="R32" s="10">
        <f t="shared" ref="R32:T32" si="78">IF($E32&lt;=R$30, $B32/12, 0)</f>
        <v>0</v>
      </c>
      <c r="S32" s="10">
        <f t="shared" si="78"/>
        <v>0</v>
      </c>
      <c r="T32" s="10">
        <f t="shared" si="78"/>
        <v>0</v>
      </c>
      <c r="U32" s="13">
        <f t="shared" si="73"/>
        <v>0</v>
      </c>
      <c r="V32" s="10">
        <f t="shared" si="74"/>
        <v>0</v>
      </c>
    </row>
    <row r="33" spans="1:22" ht="15.75" customHeight="1" x14ac:dyDescent="0.3">
      <c r="A33" t="s">
        <v>12</v>
      </c>
      <c r="B33" s="10">
        <v>0</v>
      </c>
      <c r="E33" s="12"/>
      <c r="F33" s="10">
        <f t="shared" ref="F33:H33" si="79">IF($E33&lt;=F$21, $B33/12, 0)</f>
        <v>0</v>
      </c>
      <c r="G33" s="10">
        <f t="shared" si="79"/>
        <v>0</v>
      </c>
      <c r="H33" s="10">
        <f t="shared" si="79"/>
        <v>0</v>
      </c>
      <c r="I33" s="13">
        <f t="shared" si="70"/>
        <v>0</v>
      </c>
      <c r="J33" s="10">
        <f t="shared" ref="J33:L33" si="80">IF($E33&lt;=J$21, $B33/12, 0)</f>
        <v>0</v>
      </c>
      <c r="K33" s="10">
        <f t="shared" si="80"/>
        <v>0</v>
      </c>
      <c r="L33" s="10">
        <f t="shared" si="80"/>
        <v>0</v>
      </c>
      <c r="M33" s="13">
        <f t="shared" si="71"/>
        <v>0</v>
      </c>
      <c r="N33" s="10">
        <f t="shared" ref="N33:P33" si="81">IF($E33&lt;=N$21, $B33/12, 0)</f>
        <v>0</v>
      </c>
      <c r="O33" s="10">
        <f t="shared" si="81"/>
        <v>0</v>
      </c>
      <c r="P33" s="10">
        <f t="shared" si="81"/>
        <v>0</v>
      </c>
      <c r="Q33" s="13">
        <f t="shared" si="72"/>
        <v>0</v>
      </c>
      <c r="R33" s="10">
        <f t="shared" ref="R33:T33" si="82">IF($E33&lt;=R$21, $B33/12, 0)</f>
        <v>0</v>
      </c>
      <c r="S33" s="10">
        <f t="shared" si="82"/>
        <v>0</v>
      </c>
      <c r="T33" s="10">
        <f t="shared" si="82"/>
        <v>0</v>
      </c>
      <c r="U33" s="13">
        <f t="shared" si="73"/>
        <v>0</v>
      </c>
      <c r="V33" s="10">
        <f t="shared" si="74"/>
        <v>0</v>
      </c>
    </row>
    <row r="34" spans="1:22" ht="15.75" customHeight="1" x14ac:dyDescent="0.3">
      <c r="A34" t="s">
        <v>12</v>
      </c>
      <c r="B34" s="10">
        <v>0</v>
      </c>
      <c r="E34" s="12"/>
      <c r="F34" s="10">
        <f t="shared" ref="F34:H34" si="83">IF($E34&lt;=F$21, $B34/12, 0)</f>
        <v>0</v>
      </c>
      <c r="G34" s="10">
        <f t="shared" si="83"/>
        <v>0</v>
      </c>
      <c r="H34" s="10">
        <f t="shared" si="83"/>
        <v>0</v>
      </c>
      <c r="I34" s="13">
        <f t="shared" si="70"/>
        <v>0</v>
      </c>
      <c r="J34" s="10">
        <f t="shared" ref="J34:L34" si="84">IF($E34&lt;=J$21, $B34/12, 0)</f>
        <v>0</v>
      </c>
      <c r="K34" s="10">
        <f t="shared" si="84"/>
        <v>0</v>
      </c>
      <c r="L34" s="10">
        <f t="shared" si="84"/>
        <v>0</v>
      </c>
      <c r="M34" s="13">
        <f t="shared" si="71"/>
        <v>0</v>
      </c>
      <c r="N34" s="10">
        <f t="shared" ref="N34:P34" si="85">IF($E34&lt;=N$21, $B34/12, 0)</f>
        <v>0</v>
      </c>
      <c r="O34" s="10">
        <f t="shared" si="85"/>
        <v>0</v>
      </c>
      <c r="P34" s="10">
        <f t="shared" si="85"/>
        <v>0</v>
      </c>
      <c r="Q34" s="13">
        <f t="shared" si="72"/>
        <v>0</v>
      </c>
      <c r="R34" s="10">
        <f t="shared" ref="R34:T34" si="86">IF($E34&lt;=R$21, $B34/12, 0)</f>
        <v>0</v>
      </c>
      <c r="S34" s="10">
        <f t="shared" si="86"/>
        <v>0</v>
      </c>
      <c r="T34" s="10">
        <f t="shared" si="86"/>
        <v>0</v>
      </c>
      <c r="U34" s="13">
        <f t="shared" si="73"/>
        <v>0</v>
      </c>
      <c r="V34" s="10">
        <f t="shared" si="74"/>
        <v>0</v>
      </c>
    </row>
    <row r="35" spans="1:22" ht="15.75" customHeight="1" x14ac:dyDescent="0.3">
      <c r="A35" s="34" t="s">
        <v>13</v>
      </c>
      <c r="B35" s="10">
        <f>SUM(B31:B34)</f>
        <v>0</v>
      </c>
      <c r="E35" s="12"/>
      <c r="F35" s="10">
        <f t="shared" ref="F35:V35" si="87">SUM(F31:F32)</f>
        <v>0</v>
      </c>
      <c r="G35" s="10">
        <f t="shared" si="87"/>
        <v>0</v>
      </c>
      <c r="H35" s="10">
        <f t="shared" si="87"/>
        <v>0</v>
      </c>
      <c r="I35" s="13">
        <f t="shared" si="87"/>
        <v>0</v>
      </c>
      <c r="J35" s="10">
        <f t="shared" si="87"/>
        <v>0</v>
      </c>
      <c r="K35" s="10">
        <f t="shared" si="87"/>
        <v>0</v>
      </c>
      <c r="L35" s="10">
        <f t="shared" si="87"/>
        <v>0</v>
      </c>
      <c r="M35" s="13">
        <f t="shared" si="87"/>
        <v>0</v>
      </c>
      <c r="N35" s="10">
        <f t="shared" si="87"/>
        <v>0</v>
      </c>
      <c r="O35" s="10">
        <f t="shared" si="87"/>
        <v>0</v>
      </c>
      <c r="P35" s="10">
        <f t="shared" si="87"/>
        <v>0</v>
      </c>
      <c r="Q35" s="13">
        <f t="shared" si="87"/>
        <v>0</v>
      </c>
      <c r="R35" s="10">
        <f t="shared" si="87"/>
        <v>0</v>
      </c>
      <c r="S35" s="10">
        <f t="shared" si="87"/>
        <v>0</v>
      </c>
      <c r="T35" s="10">
        <f t="shared" si="87"/>
        <v>0</v>
      </c>
      <c r="U35" s="13">
        <f t="shared" si="87"/>
        <v>0</v>
      </c>
      <c r="V35" s="10">
        <f t="shared" si="87"/>
        <v>0</v>
      </c>
    </row>
    <row r="36" spans="1:22" ht="15.75" customHeight="1" x14ac:dyDescent="0.3"/>
    <row r="37" spans="1:22" ht="15.75" customHeight="1" x14ac:dyDescent="0.3"/>
    <row r="38" spans="1:22" ht="15.75" customHeight="1" x14ac:dyDescent="0.3"/>
    <row r="39" spans="1:22" ht="18.75" customHeight="1" x14ac:dyDescent="0.35">
      <c r="A39" s="1" t="s">
        <v>20</v>
      </c>
    </row>
    <row r="40" spans="1:22" ht="15.75" customHeight="1" x14ac:dyDescent="0.3">
      <c r="A40" s="3" t="s">
        <v>2</v>
      </c>
      <c r="B40" s="4" t="s">
        <v>16</v>
      </c>
      <c r="C40" s="33"/>
      <c r="D40" s="33"/>
      <c r="E40" s="5" t="s">
        <v>17</v>
      </c>
      <c r="F40" s="6">
        <v>45658</v>
      </c>
      <c r="G40" s="6">
        <v>45689</v>
      </c>
      <c r="H40" s="6">
        <v>45717</v>
      </c>
      <c r="I40" s="7" t="s">
        <v>58</v>
      </c>
      <c r="J40" s="6">
        <v>45748</v>
      </c>
      <c r="K40" s="6">
        <v>45778</v>
      </c>
      <c r="L40" s="6">
        <v>45809</v>
      </c>
      <c r="M40" s="7" t="s">
        <v>59</v>
      </c>
      <c r="N40" s="6">
        <v>45839</v>
      </c>
      <c r="O40" s="6">
        <v>45870</v>
      </c>
      <c r="P40" s="6">
        <v>45901</v>
      </c>
      <c r="Q40" s="7" t="s">
        <v>60</v>
      </c>
      <c r="R40" s="6">
        <v>45931</v>
      </c>
      <c r="S40" s="6">
        <v>45962</v>
      </c>
      <c r="T40" s="6">
        <v>45992</v>
      </c>
      <c r="U40" s="7" t="s">
        <v>61</v>
      </c>
      <c r="V40" s="8" t="s">
        <v>62</v>
      </c>
    </row>
    <row r="41" spans="1:22" ht="15.75" customHeight="1" x14ac:dyDescent="0.3">
      <c r="A41" t="s">
        <v>53</v>
      </c>
      <c r="B41" s="10">
        <v>0</v>
      </c>
      <c r="E41" s="12"/>
      <c r="F41" s="10">
        <f t="shared" ref="F41:H41" si="88">IF($E41&lt;=F$40, $B41/12, 0)</f>
        <v>0</v>
      </c>
      <c r="G41" s="10">
        <f t="shared" si="88"/>
        <v>0</v>
      </c>
      <c r="H41" s="10">
        <f t="shared" si="88"/>
        <v>0</v>
      </c>
      <c r="I41" s="13">
        <f t="shared" ref="I41:I43" si="89">SUM(F41:H41)</f>
        <v>0</v>
      </c>
      <c r="J41" s="10">
        <f t="shared" ref="J41:L41" si="90">IF($E41&lt;=J$40, $B41/12, 0)</f>
        <v>0</v>
      </c>
      <c r="K41" s="10">
        <f t="shared" si="90"/>
        <v>0</v>
      </c>
      <c r="L41" s="10">
        <f t="shared" si="90"/>
        <v>0</v>
      </c>
      <c r="M41" s="13">
        <f t="shared" ref="M41:M43" si="91">SUM(J41:L41)</f>
        <v>0</v>
      </c>
      <c r="N41" s="10">
        <f t="shared" ref="N41:P41" si="92">IF($E41&lt;=N$40, $B41/12, 0)</f>
        <v>0</v>
      </c>
      <c r="O41" s="10">
        <f t="shared" si="92"/>
        <v>0</v>
      </c>
      <c r="P41" s="10">
        <f t="shared" si="92"/>
        <v>0</v>
      </c>
      <c r="Q41" s="13">
        <f t="shared" ref="Q41:Q43" si="93">SUM(N41:P41)</f>
        <v>0</v>
      </c>
      <c r="R41" s="10">
        <f t="shared" ref="R41:T41" si="94">IF($E41&lt;=R$40, $B41/12, 0)</f>
        <v>0</v>
      </c>
      <c r="S41" s="10">
        <f t="shared" si="94"/>
        <v>0</v>
      </c>
      <c r="T41" s="10">
        <f t="shared" si="94"/>
        <v>0</v>
      </c>
      <c r="U41" s="13">
        <f t="shared" ref="U41:U43" si="95">SUM(R41:T41)</f>
        <v>0</v>
      </c>
      <c r="V41" s="10">
        <f t="shared" ref="V41:V43" si="96">I41+M41+Q41+U41</f>
        <v>0</v>
      </c>
    </row>
    <row r="42" spans="1:22" ht="15.75" customHeight="1" x14ac:dyDescent="0.3">
      <c r="A42" t="s">
        <v>12</v>
      </c>
      <c r="B42" s="10">
        <v>0</v>
      </c>
      <c r="F42" s="10">
        <f t="shared" ref="F42:H42" si="97">IF($E42&lt;=F$40, $B42/12, 0)</f>
        <v>0</v>
      </c>
      <c r="G42" s="10">
        <f t="shared" si="97"/>
        <v>0</v>
      </c>
      <c r="H42" s="10">
        <f t="shared" si="97"/>
        <v>0</v>
      </c>
      <c r="I42" s="13">
        <f t="shared" si="89"/>
        <v>0</v>
      </c>
      <c r="J42" s="10">
        <f t="shared" ref="J42:L42" si="98">IF($E42&lt;=J$40, $B42/12, 0)</f>
        <v>0</v>
      </c>
      <c r="K42" s="10">
        <f t="shared" si="98"/>
        <v>0</v>
      </c>
      <c r="L42" s="10">
        <f t="shared" si="98"/>
        <v>0</v>
      </c>
      <c r="M42" s="13">
        <f t="shared" si="91"/>
        <v>0</v>
      </c>
      <c r="N42" s="10">
        <f t="shared" ref="N42:P42" si="99">IF($E42&lt;=N$40, $B42/12, 0)</f>
        <v>0</v>
      </c>
      <c r="O42" s="10">
        <f t="shared" si="99"/>
        <v>0</v>
      </c>
      <c r="P42" s="10">
        <f t="shared" si="99"/>
        <v>0</v>
      </c>
      <c r="Q42" s="13">
        <f t="shared" si="93"/>
        <v>0</v>
      </c>
      <c r="R42" s="10">
        <f t="shared" ref="R42:T42" si="100">IF($E42&lt;=R$40, $B42/12, 0)</f>
        <v>0</v>
      </c>
      <c r="S42" s="10">
        <f t="shared" si="100"/>
        <v>0</v>
      </c>
      <c r="T42" s="10">
        <f t="shared" si="100"/>
        <v>0</v>
      </c>
      <c r="U42" s="13">
        <f t="shared" si="95"/>
        <v>0</v>
      </c>
      <c r="V42" s="10">
        <f t="shared" si="96"/>
        <v>0</v>
      </c>
    </row>
    <row r="43" spans="1:22" ht="15.75" customHeight="1" x14ac:dyDescent="0.3">
      <c r="A43" s="34" t="s">
        <v>13</v>
      </c>
      <c r="B43" s="10">
        <f>SUM(B41:B42)</f>
        <v>0</v>
      </c>
      <c r="F43" s="10">
        <f t="shared" ref="F43:H43" si="101">SUM(F41:F42)</f>
        <v>0</v>
      </c>
      <c r="G43" s="10">
        <f t="shared" si="101"/>
        <v>0</v>
      </c>
      <c r="H43" s="10">
        <f t="shared" si="101"/>
        <v>0</v>
      </c>
      <c r="I43" s="13">
        <f t="shared" si="89"/>
        <v>0</v>
      </c>
      <c r="J43" s="10">
        <f t="shared" ref="J43:L43" si="102">SUM(J41:J42)</f>
        <v>0</v>
      </c>
      <c r="K43" s="10">
        <f t="shared" si="102"/>
        <v>0</v>
      </c>
      <c r="L43" s="10">
        <f t="shared" si="102"/>
        <v>0</v>
      </c>
      <c r="M43" s="13">
        <f t="shared" si="91"/>
        <v>0</v>
      </c>
      <c r="N43" s="10">
        <f t="shared" ref="N43:P43" si="103">SUM(N41:N42)</f>
        <v>0</v>
      </c>
      <c r="O43" s="10">
        <f t="shared" si="103"/>
        <v>0</v>
      </c>
      <c r="P43" s="10">
        <f t="shared" si="103"/>
        <v>0</v>
      </c>
      <c r="Q43" s="13">
        <f t="shared" si="93"/>
        <v>0</v>
      </c>
      <c r="R43" s="10">
        <f t="shared" ref="R43:T43" si="104">SUM(R41:R42)</f>
        <v>0</v>
      </c>
      <c r="S43" s="10">
        <f t="shared" si="104"/>
        <v>0</v>
      </c>
      <c r="T43" s="10">
        <f t="shared" si="104"/>
        <v>0</v>
      </c>
      <c r="U43" s="13">
        <f t="shared" si="95"/>
        <v>0</v>
      </c>
      <c r="V43" s="10">
        <f t="shared" si="96"/>
        <v>0</v>
      </c>
    </row>
    <row r="44" spans="1:22" ht="15.75" customHeight="1" x14ac:dyDescent="0.3"/>
    <row r="45" spans="1:22" ht="18.75" customHeight="1" x14ac:dyDescent="0.35">
      <c r="A45" s="1" t="s">
        <v>21</v>
      </c>
    </row>
    <row r="46" spans="1:22" ht="15.75" customHeight="1" x14ac:dyDescent="0.3">
      <c r="A46" s="3" t="s">
        <v>2</v>
      </c>
      <c r="B46" s="4" t="s">
        <v>16</v>
      </c>
      <c r="C46" s="33"/>
      <c r="D46" s="33"/>
      <c r="E46" s="5" t="s">
        <v>17</v>
      </c>
      <c r="F46" s="6">
        <v>45658</v>
      </c>
      <c r="G46" s="6">
        <v>45689</v>
      </c>
      <c r="H46" s="6">
        <v>45717</v>
      </c>
      <c r="I46" s="7" t="s">
        <v>58</v>
      </c>
      <c r="J46" s="6">
        <v>45748</v>
      </c>
      <c r="K46" s="6">
        <v>45778</v>
      </c>
      <c r="L46" s="6">
        <v>45809</v>
      </c>
      <c r="M46" s="7" t="s">
        <v>59</v>
      </c>
      <c r="N46" s="6">
        <v>45839</v>
      </c>
      <c r="O46" s="6">
        <v>45870</v>
      </c>
      <c r="P46" s="6">
        <v>45901</v>
      </c>
      <c r="Q46" s="7" t="s">
        <v>60</v>
      </c>
      <c r="R46" s="6">
        <v>45931</v>
      </c>
      <c r="S46" s="6">
        <v>45962</v>
      </c>
      <c r="T46" s="6">
        <v>45992</v>
      </c>
      <c r="U46" s="7" t="s">
        <v>61</v>
      </c>
      <c r="V46" s="8" t="s">
        <v>62</v>
      </c>
    </row>
    <row r="47" spans="1:22" ht="15.75" customHeight="1" x14ac:dyDescent="0.3">
      <c r="A47" t="s">
        <v>22</v>
      </c>
      <c r="B47" s="10">
        <f>B16+B26+B35+B43</f>
        <v>0</v>
      </c>
      <c r="F47" s="10">
        <v>0</v>
      </c>
      <c r="G47" s="10">
        <f t="shared" ref="G47:H47" si="105">G16+G26+G35+G43</f>
        <v>0</v>
      </c>
      <c r="H47" s="10">
        <f t="shared" si="105"/>
        <v>0</v>
      </c>
      <c r="I47" s="13">
        <f>SUM(F47:H47)</f>
        <v>0</v>
      </c>
      <c r="J47" s="10">
        <f t="shared" ref="J47:L47" si="106">J16+J26+J35+J43</f>
        <v>0</v>
      </c>
      <c r="K47" s="10">
        <f t="shared" si="106"/>
        <v>0</v>
      </c>
      <c r="L47" s="10">
        <f t="shared" si="106"/>
        <v>0</v>
      </c>
      <c r="M47" s="13">
        <f>SUM(J47:L47)</f>
        <v>0</v>
      </c>
      <c r="N47" s="10">
        <f t="shared" ref="N47:P47" si="107">N16+N26+N35+N43</f>
        <v>0</v>
      </c>
      <c r="O47" s="10">
        <f t="shared" si="107"/>
        <v>0</v>
      </c>
      <c r="P47" s="10">
        <f t="shared" si="107"/>
        <v>0</v>
      </c>
      <c r="Q47" s="13">
        <f>SUM(N47:P47)</f>
        <v>0</v>
      </c>
      <c r="R47" s="10">
        <f t="shared" ref="R47:T47" si="108">R16+R26+R35+R43</f>
        <v>0</v>
      </c>
      <c r="S47" s="10">
        <f t="shared" si="108"/>
        <v>0</v>
      </c>
      <c r="T47" s="10">
        <f t="shared" si="108"/>
        <v>0</v>
      </c>
      <c r="U47" s="13">
        <f>SUM(R47:T47)</f>
        <v>0</v>
      </c>
      <c r="V47" s="10">
        <f>I47+M47+Q47+U47</f>
        <v>0</v>
      </c>
    </row>
    <row r="48" spans="1:22" ht="15.75" customHeight="1" x14ac:dyDescent="0.3"/>
    <row r="49" spans="1:2" ht="15.75" customHeight="1" x14ac:dyDescent="0.3"/>
    <row r="50" spans="1:2" ht="21" customHeight="1" x14ac:dyDescent="0.4">
      <c r="A50" s="35" t="s">
        <v>23</v>
      </c>
      <c r="B50" s="36"/>
    </row>
    <row r="51" spans="1:2" ht="18.75" customHeight="1" x14ac:dyDescent="0.35">
      <c r="A51" s="37" t="s">
        <v>24</v>
      </c>
      <c r="B51" s="23">
        <f>-(V47/12)</f>
        <v>0</v>
      </c>
    </row>
    <row r="52" spans="1:2" ht="18.75" customHeight="1" x14ac:dyDescent="0.35">
      <c r="A52" s="37" t="s">
        <v>25</v>
      </c>
      <c r="B52" s="23">
        <v>500000</v>
      </c>
    </row>
    <row r="53" spans="1:2" ht="37.5" customHeight="1" x14ac:dyDescent="0.35">
      <c r="A53" s="38" t="s">
        <v>26</v>
      </c>
      <c r="B53" s="39" t="e">
        <f>-(B52/B51)</f>
        <v>#DIV/0!</v>
      </c>
    </row>
    <row r="54" spans="1:2" ht="15.75" customHeight="1" x14ac:dyDescent="0.3"/>
    <row r="55" spans="1:2" ht="21" customHeight="1" x14ac:dyDescent="0.4">
      <c r="A55" s="35" t="s">
        <v>27</v>
      </c>
      <c r="B55" s="36"/>
    </row>
    <row r="56" spans="1:2" ht="18.75" customHeight="1" x14ac:dyDescent="0.35">
      <c r="A56" s="37" t="s">
        <v>24</v>
      </c>
      <c r="B56" s="23">
        <f>-(V47/12)</f>
        <v>0</v>
      </c>
    </row>
    <row r="57" spans="1:2" ht="18.75" customHeight="1" x14ac:dyDescent="0.35">
      <c r="A57" s="37" t="s">
        <v>25</v>
      </c>
      <c r="B57" s="23">
        <v>0</v>
      </c>
    </row>
    <row r="58" spans="1:2" ht="18.75" customHeight="1" x14ac:dyDescent="0.35">
      <c r="A58" s="37" t="s">
        <v>28</v>
      </c>
      <c r="B58" s="23" t="e">
        <f>#REF!</f>
        <v>#REF!</v>
      </c>
    </row>
    <row r="59" spans="1:2" ht="18.75" customHeight="1" x14ac:dyDescent="0.35">
      <c r="A59" s="37" t="s">
        <v>29</v>
      </c>
      <c r="B59" s="23" t="e">
        <f>B57+B58</f>
        <v>#REF!</v>
      </c>
    </row>
    <row r="60" spans="1:2" ht="57" customHeight="1" x14ac:dyDescent="0.35">
      <c r="A60" s="38" t="s">
        <v>30</v>
      </c>
      <c r="B60" s="39" t="e">
        <f>-(B59/B56)</f>
        <v>#REF!</v>
      </c>
    </row>
    <row r="61" spans="1:2" ht="15.75" customHeight="1" x14ac:dyDescent="0.3"/>
    <row r="62" spans="1:2" ht="21" customHeight="1" x14ac:dyDescent="0.4">
      <c r="A62" s="35" t="s">
        <v>31</v>
      </c>
      <c r="B62" s="36"/>
    </row>
    <row r="63" spans="1:2" ht="18.75" customHeight="1" x14ac:dyDescent="0.35">
      <c r="A63" s="37" t="s">
        <v>24</v>
      </c>
      <c r="B63" s="23">
        <f>-(V47/12)</f>
        <v>0</v>
      </c>
    </row>
    <row r="64" spans="1:2" ht="18.75" customHeight="1" x14ac:dyDescent="0.35">
      <c r="A64" s="37" t="s">
        <v>25</v>
      </c>
      <c r="B64" s="23">
        <v>0</v>
      </c>
    </row>
    <row r="65" spans="1:2" ht="37.5" customHeight="1" x14ac:dyDescent="0.35">
      <c r="A65" s="40" t="s">
        <v>32</v>
      </c>
      <c r="B65" s="23">
        <f>Revenue!M24</f>
        <v>37257.959285130462</v>
      </c>
    </row>
    <row r="66" spans="1:2" ht="18.75" customHeight="1" x14ac:dyDescent="0.35">
      <c r="A66" s="37" t="s">
        <v>29</v>
      </c>
      <c r="B66" s="23">
        <f>B64+B65</f>
        <v>37257.959285130462</v>
      </c>
    </row>
    <row r="67" spans="1:2" ht="57" customHeight="1" x14ac:dyDescent="0.35">
      <c r="A67" s="38" t="s">
        <v>30</v>
      </c>
      <c r="B67" s="39" t="e">
        <f>-(B66/B63)</f>
        <v>#DIV/0!</v>
      </c>
    </row>
    <row r="68" spans="1:2" ht="15.75" customHeight="1" x14ac:dyDescent="0.3"/>
    <row r="69" spans="1:2" ht="15.75" customHeight="1" x14ac:dyDescent="0.3"/>
    <row r="70" spans="1:2" ht="15.75" customHeight="1" x14ac:dyDescent="0.3"/>
    <row r="71" spans="1:2" ht="15.75" customHeight="1" x14ac:dyDescent="0.3"/>
    <row r="72" spans="1:2" ht="15.75" customHeight="1" x14ac:dyDescent="0.3"/>
    <row r="73" spans="1:2" ht="15.75" customHeight="1" x14ac:dyDescent="0.3"/>
    <row r="74" spans="1:2" ht="15.75" customHeight="1" x14ac:dyDescent="0.3"/>
    <row r="75" spans="1:2" ht="15.75" customHeight="1" x14ac:dyDescent="0.3"/>
    <row r="76" spans="1:2" ht="15.75" customHeight="1" x14ac:dyDescent="0.3"/>
    <row r="77" spans="1:2" ht="15.75" customHeight="1" x14ac:dyDescent="0.3"/>
    <row r="78" spans="1:2" ht="15.75" customHeight="1" x14ac:dyDescent="0.3"/>
    <row r="79" spans="1:2" ht="15.75" customHeight="1" x14ac:dyDescent="0.3"/>
    <row r="80" spans="1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B1" workbookViewId="0">
      <selection activeCell="N10" sqref="N10"/>
    </sheetView>
  </sheetViews>
  <sheetFormatPr defaultColWidth="11.19921875" defaultRowHeight="15" customHeight="1" x14ac:dyDescent="0.3"/>
  <cols>
    <col min="1" max="1" width="24.296875" customWidth="1"/>
    <col min="2" max="2" width="11.296875" customWidth="1"/>
    <col min="3" max="3" width="17.69921875" customWidth="1"/>
    <col min="4" max="4" width="18.296875" customWidth="1"/>
    <col min="5" max="5" width="12.09765625" customWidth="1"/>
    <col min="6" max="6" width="11.296875" customWidth="1"/>
    <col min="7" max="7" width="13.09765625" customWidth="1"/>
    <col min="8" max="9" width="12.09765625" customWidth="1"/>
    <col min="10" max="10" width="13" customWidth="1"/>
    <col min="11" max="12" width="12.296875" customWidth="1"/>
    <col min="13" max="13" width="13.59765625" customWidth="1"/>
    <col min="14" max="26" width="10.59765625" customWidth="1"/>
  </cols>
  <sheetData>
    <row r="1" spans="1:13" ht="37.5" customHeight="1" x14ac:dyDescent="0.35">
      <c r="A1" s="41" t="s">
        <v>54</v>
      </c>
      <c r="B1" t="s">
        <v>33</v>
      </c>
      <c r="C1" t="s">
        <v>34</v>
      </c>
      <c r="D1" t="s">
        <v>35</v>
      </c>
      <c r="E1" t="s">
        <v>36</v>
      </c>
    </row>
    <row r="2" spans="1:13" ht="15.75" customHeight="1" x14ac:dyDescent="0.3">
      <c r="A2" t="s">
        <v>55</v>
      </c>
      <c r="B2" s="10">
        <v>25</v>
      </c>
      <c r="C2" s="11">
        <v>0.2</v>
      </c>
      <c r="D2" s="10">
        <f t="shared" ref="D2:D6" si="0">B2*0.6</f>
        <v>15</v>
      </c>
      <c r="E2" s="10">
        <f t="shared" ref="E2:E6" si="1">B2*0.4</f>
        <v>10</v>
      </c>
    </row>
    <row r="3" spans="1:13" ht="15.75" customHeight="1" x14ac:dyDescent="0.3">
      <c r="A3" t="s">
        <v>56</v>
      </c>
      <c r="B3" s="10">
        <v>50</v>
      </c>
      <c r="C3" s="11">
        <v>0.2</v>
      </c>
      <c r="D3" s="10">
        <f t="shared" si="0"/>
        <v>30</v>
      </c>
      <c r="E3" s="10">
        <f t="shared" si="1"/>
        <v>20</v>
      </c>
    </row>
    <row r="4" spans="1:13" ht="15.75" customHeight="1" x14ac:dyDescent="0.3">
      <c r="A4" t="s">
        <v>57</v>
      </c>
      <c r="B4" s="10">
        <v>100</v>
      </c>
      <c r="C4" s="11">
        <v>0.2</v>
      </c>
      <c r="D4" s="10">
        <f t="shared" si="0"/>
        <v>60</v>
      </c>
      <c r="E4" s="10">
        <f t="shared" si="1"/>
        <v>40</v>
      </c>
    </row>
    <row r="5" spans="1:13" ht="15.75" customHeight="1" x14ac:dyDescent="0.3">
      <c r="B5" s="10">
        <v>150</v>
      </c>
      <c r="C5" s="11">
        <v>0.2</v>
      </c>
      <c r="D5" s="10">
        <f t="shared" si="0"/>
        <v>90</v>
      </c>
      <c r="E5" s="10">
        <f t="shared" si="1"/>
        <v>60</v>
      </c>
    </row>
    <row r="6" spans="1:13" ht="15.75" customHeight="1" x14ac:dyDescent="0.3">
      <c r="B6" s="10">
        <v>200</v>
      </c>
      <c r="C6" s="11">
        <v>0.2</v>
      </c>
      <c r="D6" s="10">
        <f t="shared" si="0"/>
        <v>120</v>
      </c>
      <c r="E6" s="10">
        <f t="shared" si="1"/>
        <v>80</v>
      </c>
    </row>
    <row r="7" spans="1:13" ht="15.75" customHeight="1" x14ac:dyDescent="0.3">
      <c r="A7" t="s">
        <v>37</v>
      </c>
      <c r="B7" s="10">
        <f>SUM(B2:B6)/5</f>
        <v>105</v>
      </c>
    </row>
    <row r="8" spans="1:13" ht="15.75" customHeight="1" x14ac:dyDescent="0.3">
      <c r="A8" t="s">
        <v>38</v>
      </c>
      <c r="B8" s="10">
        <f>SUM(D2:D6)/5</f>
        <v>63</v>
      </c>
    </row>
    <row r="9" spans="1:13" ht="15.75" customHeight="1" x14ac:dyDescent="0.3"/>
    <row r="10" spans="1:13" ht="15.75" customHeight="1" x14ac:dyDescent="0.3">
      <c r="A10" s="19" t="s">
        <v>9</v>
      </c>
      <c r="B10" s="20">
        <v>46023</v>
      </c>
      <c r="C10" s="21">
        <v>46054</v>
      </c>
      <c r="D10" s="21">
        <v>46082</v>
      </c>
      <c r="E10" s="21" t="s">
        <v>63</v>
      </c>
      <c r="F10" s="21">
        <v>46143</v>
      </c>
      <c r="G10" s="21">
        <v>46174</v>
      </c>
      <c r="H10" s="21">
        <v>46204</v>
      </c>
      <c r="I10" s="21">
        <v>46235</v>
      </c>
      <c r="J10" s="21">
        <v>46266</v>
      </c>
      <c r="K10" s="21">
        <v>46296</v>
      </c>
      <c r="L10" s="21">
        <v>46327</v>
      </c>
      <c r="M10" s="22">
        <v>46357</v>
      </c>
    </row>
    <row r="11" spans="1:13" ht="15.75" customHeight="1" x14ac:dyDescent="0.3">
      <c r="A11" s="42" t="s">
        <v>39</v>
      </c>
      <c r="B11" s="43">
        <v>30</v>
      </c>
      <c r="C11" s="43">
        <f t="shared" ref="C11:M11" si="2">B11+ (B11*C12)</f>
        <v>36</v>
      </c>
      <c r="D11" s="43">
        <f t="shared" si="2"/>
        <v>45</v>
      </c>
      <c r="E11" s="43">
        <f t="shared" si="2"/>
        <v>58.5</v>
      </c>
      <c r="F11" s="43">
        <f t="shared" si="2"/>
        <v>78.974999999999994</v>
      </c>
      <c r="G11" s="43">
        <f t="shared" si="2"/>
        <v>82.923749999999998</v>
      </c>
      <c r="H11" s="43">
        <f t="shared" si="2"/>
        <v>91.216125000000005</v>
      </c>
      <c r="I11" s="43">
        <f t="shared" si="2"/>
        <v>104.89854375000002</v>
      </c>
      <c r="J11" s="43">
        <f t="shared" si="2"/>
        <v>125.87825250000002</v>
      </c>
      <c r="K11" s="43">
        <f t="shared" si="2"/>
        <v>157.34781562500001</v>
      </c>
      <c r="L11" s="43">
        <f t="shared" si="2"/>
        <v>204.55216031250001</v>
      </c>
      <c r="M11" s="44">
        <f t="shared" si="2"/>
        <v>276.14541642187498</v>
      </c>
    </row>
    <row r="12" spans="1:13" ht="15.75" customHeight="1" x14ac:dyDescent="0.3">
      <c r="A12" s="15" t="s">
        <v>40</v>
      </c>
      <c r="B12" s="45">
        <v>0</v>
      </c>
      <c r="C12" s="45">
        <v>0.2</v>
      </c>
      <c r="D12" s="46">
        <f t="shared" ref="D12:M12" si="3">C12+5%</f>
        <v>0.25</v>
      </c>
      <c r="E12" s="46">
        <f t="shared" si="3"/>
        <v>0.3</v>
      </c>
      <c r="F12" s="46">
        <f t="shared" si="3"/>
        <v>0.35</v>
      </c>
      <c r="G12" s="46">
        <v>0.05</v>
      </c>
      <c r="H12" s="46">
        <f t="shared" si="3"/>
        <v>0.1</v>
      </c>
      <c r="I12" s="46">
        <f t="shared" si="3"/>
        <v>0.15000000000000002</v>
      </c>
      <c r="J12" s="46">
        <f t="shared" si="3"/>
        <v>0.2</v>
      </c>
      <c r="K12" s="46">
        <f t="shared" si="3"/>
        <v>0.25</v>
      </c>
      <c r="L12" s="46">
        <f t="shared" si="3"/>
        <v>0.3</v>
      </c>
      <c r="M12" s="16">
        <f t="shared" si="3"/>
        <v>0.35</v>
      </c>
    </row>
    <row r="13" spans="1:13" ht="15.75" customHeight="1" x14ac:dyDescent="0.3">
      <c r="A13" s="15" t="s">
        <v>41</v>
      </c>
      <c r="B13" s="13">
        <f t="shared" ref="B13:M13" si="4">B11*$B7</f>
        <v>3150</v>
      </c>
      <c r="C13" s="13">
        <f t="shared" si="4"/>
        <v>3780</v>
      </c>
      <c r="D13" s="13">
        <f t="shared" si="4"/>
        <v>4725</v>
      </c>
      <c r="E13" s="13">
        <f t="shared" si="4"/>
        <v>6142.5</v>
      </c>
      <c r="F13" s="13">
        <f t="shared" si="4"/>
        <v>8292.375</v>
      </c>
      <c r="G13" s="13">
        <f t="shared" si="4"/>
        <v>8706.9937499999996</v>
      </c>
      <c r="H13" s="13">
        <f t="shared" si="4"/>
        <v>9577.6931249999998</v>
      </c>
      <c r="I13" s="13">
        <f t="shared" si="4"/>
        <v>11014.347093750002</v>
      </c>
      <c r="J13" s="13">
        <f t="shared" si="4"/>
        <v>13217.216512500001</v>
      </c>
      <c r="K13" s="13">
        <f t="shared" si="4"/>
        <v>16521.520640625</v>
      </c>
      <c r="L13" s="13">
        <f t="shared" si="4"/>
        <v>21477.976832812499</v>
      </c>
      <c r="M13" s="23">
        <f t="shared" si="4"/>
        <v>28995.268724296875</v>
      </c>
    </row>
    <row r="14" spans="1:13" ht="15.75" customHeight="1" x14ac:dyDescent="0.3">
      <c r="A14" s="9" t="s">
        <v>42</v>
      </c>
      <c r="B14" s="10">
        <f t="shared" ref="B14:M14" si="5">B13*0.6</f>
        <v>1890</v>
      </c>
      <c r="C14" s="10">
        <f t="shared" si="5"/>
        <v>2268</v>
      </c>
      <c r="D14" s="10">
        <f t="shared" si="5"/>
        <v>2835</v>
      </c>
      <c r="E14" s="10">
        <f t="shared" si="5"/>
        <v>3685.5</v>
      </c>
      <c r="F14" s="10">
        <f t="shared" si="5"/>
        <v>4975.4250000000002</v>
      </c>
      <c r="G14" s="10">
        <f t="shared" si="5"/>
        <v>5224.19625</v>
      </c>
      <c r="H14" s="10">
        <f t="shared" si="5"/>
        <v>5746.6158749999995</v>
      </c>
      <c r="I14" s="10">
        <f t="shared" si="5"/>
        <v>6608.6082562500014</v>
      </c>
      <c r="J14" s="10">
        <f t="shared" si="5"/>
        <v>7930.3299075000004</v>
      </c>
      <c r="K14" s="10">
        <f t="shared" si="5"/>
        <v>9912.9123843750003</v>
      </c>
      <c r="L14" s="10">
        <f t="shared" si="5"/>
        <v>12886.786099687499</v>
      </c>
      <c r="M14" s="14">
        <f t="shared" si="5"/>
        <v>17397.161234578125</v>
      </c>
    </row>
    <row r="15" spans="1:13" ht="15.75" customHeight="1" x14ac:dyDescent="0.3">
      <c r="A15" s="9" t="s">
        <v>43</v>
      </c>
      <c r="B15" s="10">
        <f t="shared" ref="B15:M15" si="6">B11*10</f>
        <v>300</v>
      </c>
      <c r="C15" s="10">
        <f t="shared" si="6"/>
        <v>360</v>
      </c>
      <c r="D15" s="10">
        <f t="shared" si="6"/>
        <v>450</v>
      </c>
      <c r="E15" s="10">
        <f t="shared" si="6"/>
        <v>585</v>
      </c>
      <c r="F15" s="10">
        <f t="shared" si="6"/>
        <v>789.75</v>
      </c>
      <c r="G15" s="10">
        <f t="shared" si="6"/>
        <v>829.23749999999995</v>
      </c>
      <c r="H15" s="10">
        <f t="shared" si="6"/>
        <v>912.16125000000011</v>
      </c>
      <c r="I15" s="10">
        <f t="shared" si="6"/>
        <v>1048.9854375000002</v>
      </c>
      <c r="J15" s="10">
        <f t="shared" si="6"/>
        <v>1258.7825250000001</v>
      </c>
      <c r="K15" s="10">
        <f t="shared" si="6"/>
        <v>1573.4781562500002</v>
      </c>
      <c r="L15" s="10">
        <f t="shared" si="6"/>
        <v>2045.5216031250002</v>
      </c>
      <c r="M15" s="14">
        <f t="shared" si="6"/>
        <v>2761.4541642187496</v>
      </c>
    </row>
    <row r="16" spans="1:13" ht="15.75" customHeight="1" x14ac:dyDescent="0.3">
      <c r="A16" s="9" t="s">
        <v>44</v>
      </c>
      <c r="B16" s="10">
        <f t="shared" ref="B16:M16" si="7">B13*3%</f>
        <v>94.5</v>
      </c>
      <c r="C16" s="10">
        <f t="shared" si="7"/>
        <v>113.39999999999999</v>
      </c>
      <c r="D16" s="10">
        <f t="shared" si="7"/>
        <v>141.75</v>
      </c>
      <c r="E16" s="10">
        <f t="shared" si="7"/>
        <v>184.27500000000001</v>
      </c>
      <c r="F16" s="10">
        <f t="shared" si="7"/>
        <v>248.77124999999998</v>
      </c>
      <c r="G16" s="10">
        <f t="shared" si="7"/>
        <v>261.2098125</v>
      </c>
      <c r="H16" s="10">
        <f t="shared" si="7"/>
        <v>287.33079375</v>
      </c>
      <c r="I16" s="10">
        <f t="shared" si="7"/>
        <v>330.43041281250004</v>
      </c>
      <c r="J16" s="10">
        <f t="shared" si="7"/>
        <v>396.51649537500003</v>
      </c>
      <c r="K16" s="10">
        <f t="shared" si="7"/>
        <v>495.64561921874997</v>
      </c>
      <c r="L16" s="10">
        <f t="shared" si="7"/>
        <v>644.33930498437496</v>
      </c>
      <c r="M16" s="14">
        <f t="shared" si="7"/>
        <v>869.85806172890625</v>
      </c>
    </row>
    <row r="17" spans="1:13" ht="15.75" customHeight="1" x14ac:dyDescent="0.3">
      <c r="A17" s="9" t="s">
        <v>45</v>
      </c>
      <c r="B17" s="10">
        <f t="shared" ref="B17:M17" si="8">B14+B15+B16</f>
        <v>2284.5</v>
      </c>
      <c r="C17" s="10">
        <f t="shared" si="8"/>
        <v>2741.4</v>
      </c>
      <c r="D17" s="10">
        <f t="shared" si="8"/>
        <v>3426.75</v>
      </c>
      <c r="E17" s="10">
        <f t="shared" si="8"/>
        <v>4454.7749999999996</v>
      </c>
      <c r="F17" s="10">
        <f t="shared" si="8"/>
        <v>6013.94625</v>
      </c>
      <c r="G17" s="10">
        <f t="shared" si="8"/>
        <v>6314.6435625000004</v>
      </c>
      <c r="H17" s="10">
        <f t="shared" si="8"/>
        <v>6946.10791875</v>
      </c>
      <c r="I17" s="10">
        <f t="shared" si="8"/>
        <v>7988.0241065625023</v>
      </c>
      <c r="J17" s="10">
        <f t="shared" si="8"/>
        <v>9585.628927875001</v>
      </c>
      <c r="K17" s="10">
        <f t="shared" si="8"/>
        <v>11982.036159843752</v>
      </c>
      <c r="L17" s="10">
        <f t="shared" si="8"/>
        <v>15576.647007796873</v>
      </c>
      <c r="M17" s="14">
        <f t="shared" si="8"/>
        <v>21028.473460525784</v>
      </c>
    </row>
    <row r="18" spans="1:13" ht="15.75" customHeight="1" x14ac:dyDescent="0.3">
      <c r="A18" s="9" t="s">
        <v>46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4">
        <v>0</v>
      </c>
    </row>
    <row r="19" spans="1:13" ht="15.75" customHeight="1" x14ac:dyDescent="0.3">
      <c r="A19" s="9" t="s">
        <v>46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4">
        <v>0</v>
      </c>
    </row>
    <row r="20" spans="1:13" ht="15.75" customHeight="1" x14ac:dyDescent="0.3">
      <c r="A20" s="9" t="s">
        <v>47</v>
      </c>
      <c r="B20" s="11">
        <f t="shared" ref="B20:M20" si="9">B21/B13</f>
        <v>0.27476190476190476</v>
      </c>
      <c r="C20" s="11">
        <f t="shared" si="9"/>
        <v>0.27476190476190476</v>
      </c>
      <c r="D20" s="11">
        <f t="shared" si="9"/>
        <v>0.27476190476190476</v>
      </c>
      <c r="E20" s="11">
        <f t="shared" si="9"/>
        <v>0.27476190476190482</v>
      </c>
      <c r="F20" s="11">
        <f t="shared" si="9"/>
        <v>0.27476190476190476</v>
      </c>
      <c r="G20" s="11">
        <f t="shared" si="9"/>
        <v>0.27476190476190471</v>
      </c>
      <c r="H20" s="11">
        <f t="shared" si="9"/>
        <v>0.27476190476190476</v>
      </c>
      <c r="I20" s="11">
        <f t="shared" si="9"/>
        <v>0.27476190476190471</v>
      </c>
      <c r="J20" s="11">
        <f t="shared" si="9"/>
        <v>0.27476190476190476</v>
      </c>
      <c r="K20" s="11">
        <f t="shared" si="9"/>
        <v>0.27476190476190465</v>
      </c>
      <c r="L20" s="11">
        <f t="shared" si="9"/>
        <v>0.27476190476190482</v>
      </c>
      <c r="M20" s="47">
        <f t="shared" si="9"/>
        <v>0.27476190476190471</v>
      </c>
    </row>
    <row r="21" spans="1:13" ht="15.75" customHeight="1" x14ac:dyDescent="0.3">
      <c r="A21" s="15" t="s">
        <v>48</v>
      </c>
      <c r="B21" s="13">
        <f t="shared" ref="B21:M21" si="10">B13-B17</f>
        <v>865.5</v>
      </c>
      <c r="C21" s="13">
        <f t="shared" si="10"/>
        <v>1038.5999999999999</v>
      </c>
      <c r="D21" s="13">
        <f t="shared" si="10"/>
        <v>1298.25</v>
      </c>
      <c r="E21" s="13">
        <f t="shared" si="10"/>
        <v>1687.7250000000004</v>
      </c>
      <c r="F21" s="13">
        <f t="shared" si="10"/>
        <v>2278.42875</v>
      </c>
      <c r="G21" s="13">
        <f t="shared" si="10"/>
        <v>2392.3501874999993</v>
      </c>
      <c r="H21" s="13">
        <f t="shared" si="10"/>
        <v>2631.5852062499998</v>
      </c>
      <c r="I21" s="13">
        <f t="shared" si="10"/>
        <v>3026.3229871875001</v>
      </c>
      <c r="J21" s="13">
        <f t="shared" si="10"/>
        <v>3631.5875846250001</v>
      </c>
      <c r="K21" s="13">
        <f t="shared" si="10"/>
        <v>4539.4844807812478</v>
      </c>
      <c r="L21" s="13">
        <f t="shared" si="10"/>
        <v>5901.3298250156258</v>
      </c>
      <c r="M21" s="23">
        <f t="shared" si="10"/>
        <v>7966.7952637710914</v>
      </c>
    </row>
    <row r="22" spans="1:13" ht="15.75" customHeight="1" x14ac:dyDescent="0.3">
      <c r="A22" s="9"/>
      <c r="M22" s="48"/>
    </row>
    <row r="23" spans="1:13" ht="15.75" customHeight="1" x14ac:dyDescent="0.3">
      <c r="A23" s="15" t="s">
        <v>49</v>
      </c>
      <c r="B23" s="13">
        <f t="shared" ref="B23:M23" si="11">SUM($B13:B13)</f>
        <v>3150</v>
      </c>
      <c r="C23" s="13">
        <f t="shared" si="11"/>
        <v>6930</v>
      </c>
      <c r="D23" s="13">
        <f t="shared" si="11"/>
        <v>11655</v>
      </c>
      <c r="E23" s="13">
        <f t="shared" si="11"/>
        <v>17797.5</v>
      </c>
      <c r="F23" s="13">
        <f t="shared" si="11"/>
        <v>26089.875</v>
      </c>
      <c r="G23" s="13">
        <f t="shared" si="11"/>
        <v>34796.868750000001</v>
      </c>
      <c r="H23" s="13">
        <f t="shared" si="11"/>
        <v>44374.561874999999</v>
      </c>
      <c r="I23" s="13">
        <f t="shared" si="11"/>
        <v>55388.908968750002</v>
      </c>
      <c r="J23" s="13">
        <f t="shared" si="11"/>
        <v>68606.125481249997</v>
      </c>
      <c r="K23" s="13">
        <f t="shared" si="11"/>
        <v>85127.646121875005</v>
      </c>
      <c r="L23" s="13">
        <f t="shared" si="11"/>
        <v>106605.62295468751</v>
      </c>
      <c r="M23" s="23">
        <f t="shared" si="11"/>
        <v>135600.89167898439</v>
      </c>
    </row>
    <row r="24" spans="1:13" ht="15.75" customHeight="1" x14ac:dyDescent="0.3">
      <c r="A24" s="17" t="s">
        <v>50</v>
      </c>
      <c r="B24" s="24">
        <f t="shared" ref="B24:M24" si="12">SUM($B21:B21)</f>
        <v>865.5</v>
      </c>
      <c r="C24" s="24">
        <f t="shared" si="12"/>
        <v>1904.1</v>
      </c>
      <c r="D24" s="24">
        <f t="shared" si="12"/>
        <v>3202.35</v>
      </c>
      <c r="E24" s="24">
        <f t="shared" si="12"/>
        <v>4890.0750000000007</v>
      </c>
      <c r="F24" s="24">
        <f t="shared" si="12"/>
        <v>7168.5037500000008</v>
      </c>
      <c r="G24" s="24">
        <f t="shared" si="12"/>
        <v>9560.8539375</v>
      </c>
      <c r="H24" s="24">
        <f t="shared" si="12"/>
        <v>12192.43914375</v>
      </c>
      <c r="I24" s="24">
        <f t="shared" si="12"/>
        <v>15218.762130937499</v>
      </c>
      <c r="J24" s="24">
        <f t="shared" si="12"/>
        <v>18850.349715562501</v>
      </c>
      <c r="K24" s="24">
        <f t="shared" si="12"/>
        <v>23389.834196343749</v>
      </c>
      <c r="L24" s="24">
        <f t="shared" si="12"/>
        <v>29291.164021359375</v>
      </c>
      <c r="M24" s="18">
        <f t="shared" si="12"/>
        <v>37257.959285130462</v>
      </c>
    </row>
    <row r="25" spans="1:13" ht="15.75" customHeight="1" x14ac:dyDescent="0.3"/>
    <row r="26" spans="1:13" ht="15.75" customHeight="1" x14ac:dyDescent="0.3"/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Beyer</dc:creator>
  <cp:lastModifiedBy>Johanna Beyer</cp:lastModifiedBy>
  <dcterms:created xsi:type="dcterms:W3CDTF">2017-10-19T23:25:15Z</dcterms:created>
  <dcterms:modified xsi:type="dcterms:W3CDTF">2025-11-07T01:54:52Z</dcterms:modified>
</cp:coreProperties>
</file>